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ogendra.das\Desktop\Training Management System\docs\"/>
    </mc:Choice>
  </mc:AlternateContent>
  <xr:revisionPtr revIDLastSave="0" documentId="13_ncr:1_{7093A87E-7D78-4684-9B03-5E2D781031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C Manual Effort" sheetId="1" r:id="rId1"/>
    <sheet name="Summary by Stage" sheetId="2" r:id="rId2"/>
    <sheet name="Assum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2" i="1"/>
  <c r="H42" i="1" l="1"/>
</calcChain>
</file>

<file path=xl/sharedStrings.xml><?xml version="1.0" encoding="utf-8"?>
<sst xmlns="http://schemas.openxmlformats.org/spreadsheetml/2006/main" count="290" uniqueCount="201">
  <si>
    <t>S.No</t>
  </si>
  <si>
    <t>Stage</t>
  </si>
  <si>
    <t>Task</t>
  </si>
  <si>
    <t>Description / Sub-activities</t>
  </si>
  <si>
    <t>Frequency</t>
  </si>
  <si>
    <t>Time per occurrence (hrs)</t>
  </si>
  <si>
    <t>Occurrences / year</t>
  </si>
  <si>
    <t>Total hrs / year per plant</t>
  </si>
  <si>
    <t>Tools used</t>
  </si>
  <si>
    <t>Pain points / risk</t>
  </si>
  <si>
    <t>Employee Master</t>
  </si>
  <si>
    <t>Annual master refresh</t>
  </si>
  <si>
    <t>Pull active headcount from HR / payroll. Map emp_code, name, designation, dept, collar (BC/WC). Reconcile new joiners + exits.</t>
  </si>
  <si>
    <t>Yearly</t>
  </si>
  <si>
    <t>MS Excel, HR system exports</t>
  </si>
  <si>
    <t>Manual VLOOKUP errors. Stale exits not removed. Collar misclassified.</t>
  </si>
  <si>
    <t>Monthly delta update</t>
  </si>
  <si>
    <t>Add new joiners. Mark exits with date + reason. Update designation changes.</t>
  </si>
  <si>
    <t>Monthly</t>
  </si>
  <si>
    <t>MS Excel</t>
  </si>
  <si>
    <t>Missed updates → trained-employee count off.</t>
  </si>
  <si>
    <t>TNI Collection</t>
  </si>
  <si>
    <t>Circulate TNI template</t>
  </si>
  <si>
    <t>Outlook, Excel</t>
  </si>
  <si>
    <t>HoD-wise TNI receipt + chase</t>
  </si>
  <si>
    <t>Track who has submitted. Send reminders. Personal visits.</t>
  </si>
  <si>
    <t>Outlook, phone</t>
  </si>
  <si>
    <t>5-10 reminders typical. SPOC time lost.</t>
  </si>
  <si>
    <t>TNI Consolidation</t>
  </si>
  <si>
    <t>Merge HoD sheets into one</t>
  </si>
  <si>
    <t>Column mismatch. Rows lost. Duplicate emp+programme entries.</t>
  </si>
  <si>
    <t>TNI Validation</t>
  </si>
  <si>
    <t>Emp code verification</t>
  </si>
  <si>
    <t>VLOOKUP each emp_code against employee master. Flag missing / mistyped.</t>
  </si>
  <si>
    <t>Wrong codes silently accepted. Affects coverage denominator.</t>
  </si>
  <si>
    <t>Programme name normalisation</t>
  </si>
  <si>
    <t>Manually fix typo variants (e.g. 'EHS' vs 'E.H.S.' vs 'Environment Health Safety').</t>
  </si>
  <si>
    <t>MS Excel, find-replace</t>
  </si>
  <si>
    <t>Spelling variants → orphan programmes → coverage % wrong.</t>
  </si>
  <si>
    <t>Duplicate detection</t>
  </si>
  <si>
    <t>Sort by emp+programme. Remove duplicates manually.</t>
  </si>
  <si>
    <t>Duplicates inflate nominated count.</t>
  </si>
  <si>
    <t>TNI Approval</t>
  </si>
  <si>
    <t>Print, take signature, scan back, file. Multiple iterations if rejected.</t>
  </si>
  <si>
    <t>Print, scan, email</t>
  </si>
  <si>
    <t>Sign-off delays 1-2 weeks.</t>
  </si>
  <si>
    <t>Programme Master</t>
  </si>
  <si>
    <t>MS Excel pivot</t>
  </si>
  <si>
    <t>Calendar Planning</t>
  </si>
  <si>
    <t>Annual calendar draft</t>
  </si>
  <si>
    <t>Spread programmes across 12 months. Avoid harvest season, audits, festivals. Match faculty availability.</t>
  </si>
  <si>
    <t>Clash with production planning. Faculty no-show.</t>
  </si>
  <si>
    <t>Session-code assignment</t>
  </si>
  <si>
    <t>Per session</t>
  </si>
  <si>
    <t>Duplicate codes. Wrong serial. Hard to track.</t>
  </si>
  <si>
    <t>Stakeholder circulation</t>
  </si>
  <si>
    <t>Outlook</t>
  </si>
  <si>
    <t>Multiple revisions. Version drift.</t>
  </si>
  <si>
    <t>Session Prep</t>
  </si>
  <si>
    <t>Nominee list per session</t>
  </si>
  <si>
    <t>Filter TNI for this programme → list of nominees → check who's available that day → finalise.</t>
  </si>
  <si>
    <t>MS Excel filter, phone</t>
  </si>
  <si>
    <t>Last-minute swaps. Wrong people show up.</t>
  </si>
  <si>
    <t>Venue + logistics booking</t>
  </si>
  <si>
    <t>Book training hall. Order refreshments. Arrange projector, printouts.</t>
  </si>
  <si>
    <t>Phone, email, paper</t>
  </si>
  <si>
    <t>Venue clash. Equipment failure.</t>
  </si>
  <si>
    <t>Faculty confirmation</t>
  </si>
  <si>
    <t>Confirm faculty 2 days before. Send agenda. Share attendee count.</t>
  </si>
  <si>
    <t>Phone, email</t>
  </si>
  <si>
    <t>Faculty cancellation last minute.</t>
  </si>
  <si>
    <t>Attendance register printout</t>
  </si>
  <si>
    <t>Print attendance sheet with emp_code + name + signature column.</t>
  </si>
  <si>
    <t>MS Word, printer</t>
  </si>
  <si>
    <t>Wrong list printed. Names misspelled.</t>
  </si>
  <si>
    <t>Pre-test / material printout</t>
  </si>
  <si>
    <t>Print pre-tests, handouts, certificates.</t>
  </si>
  <si>
    <t>Word, printer</t>
  </si>
  <si>
    <t>Printer down. Material outdated.</t>
  </si>
  <si>
    <t>Day-of Session</t>
  </si>
  <si>
    <t>On-site coordination</t>
  </si>
  <si>
    <t>Receive attendees. Faculty intro. Manage logistics during session.</t>
  </si>
  <si>
    <t>In-person</t>
  </si>
  <si>
    <t>Late attendees. Faculty issues.</t>
  </si>
  <si>
    <t>Attendance register signing</t>
  </si>
  <si>
    <t>Circulate register. Ensure all sign.</t>
  </si>
  <si>
    <t>Paper register</t>
  </si>
  <si>
    <t>Proxy signatures. Missed signers. Lost register.</t>
  </si>
  <si>
    <t>Feedback form distribution</t>
  </si>
  <si>
    <t>Print, distribute, collect feedback forms at end.</t>
  </si>
  <si>
    <t>Paper</t>
  </si>
  <si>
    <t>Low response rate. Forms lost.</t>
  </si>
  <si>
    <t>2A Entry</t>
  </si>
  <si>
    <t>Transcribe paper register to Excel</t>
  </si>
  <si>
    <t>Type each attendee row by row from paper register into Sheet 2A. Map signature → present.</t>
  </si>
  <si>
    <t>Transcription errors. Names mistyped. Wrong emp_code.</t>
  </si>
  <si>
    <t>Hours computation</t>
  </si>
  <si>
    <t>Calculate hours per attendee (full vs partial). Manual entry.</t>
  </si>
  <si>
    <t>Hour padding. Inconsistent calc.</t>
  </si>
  <si>
    <t>2C Entry</t>
  </si>
  <si>
    <t>Programme details sheet fill</t>
  </si>
  <si>
    <t>Fill 2C: programme name, dates, hours, mode, faculty, vendor, cost, int/ext.</t>
  </si>
  <si>
    <t>Missing fields. Wrong faculty name.</t>
  </si>
  <si>
    <t>Faculty signoff collection</t>
  </si>
  <si>
    <t>Print 2C draft, take faculty sign, scan, file.</t>
  </si>
  <si>
    <t>Print, scan</t>
  </si>
  <si>
    <t>Faculty delays. Lost signed copies.</t>
  </si>
  <si>
    <t>Vendor invoice attachment</t>
  </si>
  <si>
    <t>Collect invoice from vendor. Match cost. File copy.</t>
  </si>
  <si>
    <t>Per external session</t>
  </si>
  <si>
    <t>Email, file</t>
  </si>
  <si>
    <t>Invoice delays. Mismatches with cost in 2C.</t>
  </si>
  <si>
    <t>Monthly Summary</t>
  </si>
  <si>
    <t>Consolidate month's 2A + 2C</t>
  </si>
  <si>
    <t>Combine all session 2A + 2C entries of the month. Build pivot.</t>
  </si>
  <si>
    <t>Formula errors. Pivot scope drifts.</t>
  </si>
  <si>
    <t>Manhours + person-seats calc</t>
  </si>
  <si>
    <t>Sum manhours by prog_type × collar. Manual lookup against employee master.</t>
  </si>
  <si>
    <t>Lookup misses → undercounted manhours.</t>
  </si>
  <si>
    <t>Coverage % calc</t>
  </si>
  <si>
    <t>For each prog_type+collar: distinct trained / distinct nominated × 100. VLOOKUP-heavy.</t>
  </si>
  <si>
    <t>Formula bugs. Coverage misreported.</t>
  </si>
  <si>
    <t>Discrepancy reconciliation</t>
  </si>
  <si>
    <t>Cross-check summary numbers with raw 2A. Investigate gaps.</t>
  </si>
  <si>
    <t>Time-consuming. Repeat errors.</t>
  </si>
  <si>
    <t>Central Reporting</t>
  </si>
  <si>
    <t>Submit plant report to Central</t>
  </si>
  <si>
    <t>Email monthly Excel to central L&amp;D. Respond to queries.</t>
  </si>
  <si>
    <t>Delays. Format inconsistencies.</t>
  </si>
  <si>
    <t>Central consolidation across plants</t>
  </si>
  <si>
    <t>[Central team] Merge 10 plant sheets into one. Build cross-plant dashboard manually.</t>
  </si>
  <si>
    <t>MS Excel, PowerPoint</t>
  </si>
  <si>
    <t>Central effort multiplies. Errors compound.</t>
  </si>
  <si>
    <t>Query / clarification loop</t>
  </si>
  <si>
    <t>Plants and central exchange clarifications over email/phone.</t>
  </si>
  <si>
    <t>Email, phone</t>
  </si>
  <si>
    <t>Repeated cycles. Days lost.</t>
  </si>
  <si>
    <t>Quarterly Review</t>
  </si>
  <si>
    <t>Quarterly compliance pack</t>
  </si>
  <si>
    <t>Quarterly</t>
  </si>
  <si>
    <t>PowerPoint, Excel</t>
  </si>
  <si>
    <t>Inconsistent narrative. Last-minute data fixes.</t>
  </si>
  <si>
    <t>Review meeting + MoM</t>
  </si>
  <si>
    <t>Attend review, take MoM, distribute action items.</t>
  </si>
  <si>
    <t>Word, meeting</t>
  </si>
  <si>
    <t>Action items not tracked.</t>
  </si>
  <si>
    <t>Audit Prep</t>
  </si>
  <si>
    <t>Year-End</t>
  </si>
  <si>
    <t>FY data archival</t>
  </si>
  <si>
    <t>Archive prior FY files. Lock data. Prepare new FY workbook.</t>
  </si>
  <si>
    <t>File system, Excel</t>
  </si>
  <si>
    <t>Data lost. Old links broken.</t>
  </si>
  <si>
    <t>Carry-forward analysis</t>
  </si>
  <si>
    <t>Identify incomplete TNI items. Carry to next FY plan.</t>
  </si>
  <si>
    <t>Carryover missed.</t>
  </si>
  <si>
    <t>Ongoing</t>
  </si>
  <si>
    <t>Pull specific reports: dept training, individual employee record, vendor cost.</t>
  </si>
  <si>
    <t>Weekly</t>
  </si>
  <si>
    <t>Excel filters</t>
  </si>
  <si>
    <t>Repeat effort. No single source of truth.</t>
  </si>
  <si>
    <t>Certificate generation + dispatch</t>
  </si>
  <si>
    <t>Generate certificates per attendee. Print, sign, distribute.</t>
  </si>
  <si>
    <t>Word mail-merge, printer</t>
  </si>
  <si>
    <t>Mail-merge errors. Lost in distribution.</t>
  </si>
  <si>
    <t>TNI mid-year correction requests</t>
  </si>
  <si>
    <t>Handle requests to add/remove TNI line items mid-year.</t>
  </si>
  <si>
    <t>Email, Excel</t>
  </si>
  <si>
    <t>Untracked. Audit gap.</t>
  </si>
  <si>
    <t>Communication / coordination</t>
  </si>
  <si>
    <t>Email threads, calls, follow-ups across plant + central + faculty + vendor.</t>
  </si>
  <si>
    <t>Daily</t>
  </si>
  <si>
    <t>Time sink. No traceability.</t>
  </si>
  <si>
    <t>TOTAL</t>
  </si>
  <si>
    <t>Tasks</t>
  </si>
  <si>
    <t>Total hrs/yr/plant</t>
  </si>
  <si>
    <t>Item</t>
  </si>
  <si>
    <t>Value</t>
  </si>
  <si>
    <t>Plant SPOC count</t>
  </si>
  <si>
    <t>1 per plant (10 plants total at BCML)</t>
  </si>
  <si>
    <t>Annual sessions per plant (avg)</t>
  </si>
  <si>
    <t>250</t>
  </si>
  <si>
    <t>External (paid) sessions per plant</t>
  </si>
  <si>
    <t>~80 (32%)</t>
  </si>
  <si>
    <t>TNI nominees per plant</t>
  </si>
  <si>
    <t>1500-3000 unique</t>
  </si>
  <si>
    <t>Audits per year</t>
  </si>
  <si>
    <t>ISO + customer + internal = ~3</t>
  </si>
  <si>
    <t>Time basis</t>
  </si>
  <si>
    <t>Indian PSU/manufacturing benchmark; observed averages</t>
  </si>
  <si>
    <t>Conversion: hours/year/plant → person-days</t>
  </si>
  <si>
    <t>Divide by 8</t>
  </si>
  <si>
    <t>Conversion: per BCML (10 plants)</t>
  </si>
  <si>
    <t>Multiply per-plant by 10</t>
  </si>
  <si>
    <t>Email blank TNI template to each SH/HOD/. Follow-up calls. Multiple revisions.</t>
  </si>
  <si>
    <t xml:space="preserve"> delay 2-4 weeks. Versions multiply.</t>
  </si>
  <si>
    <t>Copy-paste rows from 50 HoD sheets into single master TNI. Reconcile column naming.</t>
  </si>
  <si>
    <t>Plant head sign-off</t>
  </si>
  <si>
    <t xml:space="preserve">Manually generate session </t>
  </si>
  <si>
    <t>Email calendar to HoDs, plant head, L&amp;D. Collect feedback. Revise.</t>
  </si>
  <si>
    <t xml:space="preserve">Build quarterly review deck. Prep slides for management </t>
  </si>
  <si>
    <t>Ad-hoc queries from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</si>
</sst>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990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/>
    </xf>
    <xf numFmtId="0" fontId="3" fillId="3" borderId="0" xfId="0" applyFont="1" applyFill="1"/>
    <xf numFmtId="0" fontId="1" fillId="2" borderId="0" xfId="0" applyFont="1" applyFill="1"/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topLeftCell="D1" workbookViewId="0">
      <pane ySplit="1" topLeftCell="A33" activePane="bottomLeft" state="frozen"/>
      <selection pane="bottomLeft" activeCell="J38" sqref="J38"/>
    </sheetView>
  </sheetViews>
  <sheetFormatPr defaultRowHeight="14.4" x14ac:dyDescent="0.3"/>
  <cols>
    <col min="1" max="1" width="6" customWidth="1"/>
    <col min="2" max="2" width="22" customWidth="1"/>
    <col min="3" max="3" width="30" customWidth="1"/>
    <col min="4" max="4" width="60" customWidth="1"/>
    <col min="5" max="5" width="18" customWidth="1"/>
    <col min="6" max="7" width="14" customWidth="1"/>
    <col min="8" max="8" width="16" customWidth="1"/>
    <col min="9" max="9" width="28" hidden="1" customWidth="1"/>
    <col min="10" max="10" width="50" customWidth="1"/>
  </cols>
  <sheetData>
    <row r="1" spans="1:10" ht="4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9.95" customHeight="1" x14ac:dyDescent="0.3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8</v>
      </c>
      <c r="G2" s="3">
        <v>1</v>
      </c>
      <c r="H2" s="3">
        <f>F2*G2</f>
        <v>8</v>
      </c>
      <c r="I2" s="2" t="s">
        <v>14</v>
      </c>
      <c r="J2" s="2" t="s">
        <v>15</v>
      </c>
    </row>
    <row r="3" spans="1:10" ht="64.2" customHeight="1" x14ac:dyDescent="0.3">
      <c r="A3" s="2">
        <v>2</v>
      </c>
      <c r="B3" s="2" t="s">
        <v>10</v>
      </c>
      <c r="C3" s="2" t="s">
        <v>16</v>
      </c>
      <c r="D3" s="2" t="s">
        <v>17</v>
      </c>
      <c r="E3" s="2" t="s">
        <v>18</v>
      </c>
      <c r="F3" s="3">
        <v>2</v>
      </c>
      <c r="G3" s="3">
        <v>12</v>
      </c>
      <c r="H3" s="3">
        <f t="shared" ref="H3:H41" si="0">F3*G3</f>
        <v>24</v>
      </c>
      <c r="I3" s="2" t="s">
        <v>19</v>
      </c>
      <c r="J3" s="2" t="s">
        <v>20</v>
      </c>
    </row>
    <row r="4" spans="1:10" ht="49.95" customHeight="1" x14ac:dyDescent="0.3">
      <c r="A4" s="2">
        <v>3</v>
      </c>
      <c r="B4" s="2" t="s">
        <v>21</v>
      </c>
      <c r="C4" s="2" t="s">
        <v>22</v>
      </c>
      <c r="D4" s="2" t="s">
        <v>193</v>
      </c>
      <c r="E4" s="2" t="s">
        <v>13</v>
      </c>
      <c r="F4" s="3">
        <v>4</v>
      </c>
      <c r="G4" s="3">
        <v>1</v>
      </c>
      <c r="H4" s="3">
        <f t="shared" si="0"/>
        <v>4</v>
      </c>
      <c r="I4" s="2" t="s">
        <v>23</v>
      </c>
      <c r="J4" s="2" t="s">
        <v>194</v>
      </c>
    </row>
    <row r="5" spans="1:10" ht="49.95" customHeight="1" x14ac:dyDescent="0.3">
      <c r="A5" s="2">
        <v>4</v>
      </c>
      <c r="B5" s="2" t="s">
        <v>21</v>
      </c>
      <c r="C5" s="2" t="s">
        <v>24</v>
      </c>
      <c r="D5" s="2" t="s">
        <v>25</v>
      </c>
      <c r="E5" s="2" t="s">
        <v>13</v>
      </c>
      <c r="F5" s="3">
        <v>12</v>
      </c>
      <c r="G5" s="3">
        <v>1</v>
      </c>
      <c r="H5" s="3">
        <f t="shared" si="0"/>
        <v>12</v>
      </c>
      <c r="I5" s="2" t="s">
        <v>26</v>
      </c>
      <c r="J5" s="2" t="s">
        <v>27</v>
      </c>
    </row>
    <row r="6" spans="1:10" ht="49.95" customHeight="1" x14ac:dyDescent="0.3">
      <c r="A6" s="2">
        <v>5</v>
      </c>
      <c r="B6" s="2" t="s">
        <v>28</v>
      </c>
      <c r="C6" s="2" t="s">
        <v>29</v>
      </c>
      <c r="D6" s="2" t="s">
        <v>195</v>
      </c>
      <c r="E6" s="2" t="s">
        <v>13</v>
      </c>
      <c r="F6" s="3">
        <v>8</v>
      </c>
      <c r="G6" s="3">
        <v>1</v>
      </c>
      <c r="H6" s="3">
        <f t="shared" si="0"/>
        <v>8</v>
      </c>
      <c r="I6" s="2" t="s">
        <v>19</v>
      </c>
      <c r="J6" s="2" t="s">
        <v>30</v>
      </c>
    </row>
    <row r="7" spans="1:10" ht="49.95" customHeight="1" x14ac:dyDescent="0.3">
      <c r="A7" s="2">
        <v>6</v>
      </c>
      <c r="B7" s="2" t="s">
        <v>31</v>
      </c>
      <c r="C7" s="2" t="s">
        <v>32</v>
      </c>
      <c r="D7" s="2" t="s">
        <v>33</v>
      </c>
      <c r="E7" s="2" t="s">
        <v>13</v>
      </c>
      <c r="F7" s="3">
        <v>4</v>
      </c>
      <c r="G7" s="3">
        <v>1</v>
      </c>
      <c r="H7" s="3">
        <f t="shared" si="0"/>
        <v>4</v>
      </c>
      <c r="I7" s="2" t="s">
        <v>19</v>
      </c>
      <c r="J7" s="2" t="s">
        <v>34</v>
      </c>
    </row>
    <row r="8" spans="1:10" ht="49.95" customHeight="1" x14ac:dyDescent="0.3">
      <c r="A8" s="2">
        <v>7</v>
      </c>
      <c r="B8" s="2" t="s">
        <v>31</v>
      </c>
      <c r="C8" s="2" t="s">
        <v>35</v>
      </c>
      <c r="D8" s="2" t="s">
        <v>36</v>
      </c>
      <c r="E8" s="2" t="s">
        <v>13</v>
      </c>
      <c r="F8" s="3">
        <v>6</v>
      </c>
      <c r="G8" s="3">
        <v>1</v>
      </c>
      <c r="H8" s="3">
        <f t="shared" si="0"/>
        <v>6</v>
      </c>
      <c r="I8" s="2" t="s">
        <v>37</v>
      </c>
      <c r="J8" s="2" t="s">
        <v>38</v>
      </c>
    </row>
    <row r="9" spans="1:10" ht="49.95" customHeight="1" x14ac:dyDescent="0.3">
      <c r="A9" s="2">
        <v>8</v>
      </c>
      <c r="B9" s="2" t="s">
        <v>31</v>
      </c>
      <c r="C9" s="2" t="s">
        <v>39</v>
      </c>
      <c r="D9" s="2" t="s">
        <v>40</v>
      </c>
      <c r="E9" s="2" t="s">
        <v>13</v>
      </c>
      <c r="F9" s="3">
        <v>2</v>
      </c>
      <c r="G9" s="3">
        <v>1</v>
      </c>
      <c r="H9" s="3">
        <f t="shared" si="0"/>
        <v>2</v>
      </c>
      <c r="I9" s="2" t="s">
        <v>19</v>
      </c>
      <c r="J9" s="2" t="s">
        <v>41</v>
      </c>
    </row>
    <row r="10" spans="1:10" ht="49.95" customHeight="1" x14ac:dyDescent="0.3">
      <c r="A10" s="2">
        <v>9</v>
      </c>
      <c r="B10" s="2" t="s">
        <v>42</v>
      </c>
      <c r="C10" s="2" t="s">
        <v>196</v>
      </c>
      <c r="D10" s="2" t="s">
        <v>43</v>
      </c>
      <c r="E10" s="2" t="s">
        <v>13</v>
      </c>
      <c r="F10" s="3">
        <v>6</v>
      </c>
      <c r="G10" s="3">
        <v>1</v>
      </c>
      <c r="H10" s="3">
        <f t="shared" si="0"/>
        <v>6</v>
      </c>
      <c r="I10" s="2" t="s">
        <v>44</v>
      </c>
      <c r="J10" s="2" t="s">
        <v>45</v>
      </c>
    </row>
    <row r="11" spans="1:10" ht="49.95" customHeight="1" x14ac:dyDescent="0.3">
      <c r="A11" s="2">
        <v>12</v>
      </c>
      <c r="B11" s="2" t="s">
        <v>48</v>
      </c>
      <c r="C11" s="2" t="s">
        <v>49</v>
      </c>
      <c r="D11" s="2" t="s">
        <v>50</v>
      </c>
      <c r="E11" s="2" t="s">
        <v>13</v>
      </c>
      <c r="F11" s="3">
        <v>12</v>
      </c>
      <c r="G11" s="3">
        <v>1</v>
      </c>
      <c r="H11" s="3">
        <f t="shared" si="0"/>
        <v>12</v>
      </c>
      <c r="I11" s="2" t="s">
        <v>19</v>
      </c>
      <c r="J11" s="2" t="s">
        <v>51</v>
      </c>
    </row>
    <row r="12" spans="1:10" ht="49.95" customHeight="1" x14ac:dyDescent="0.3">
      <c r="A12" s="2">
        <v>13</v>
      </c>
      <c r="B12" s="2" t="s">
        <v>48</v>
      </c>
      <c r="C12" s="2" t="s">
        <v>52</v>
      </c>
      <c r="D12" s="2" t="s">
        <v>197</v>
      </c>
      <c r="E12" s="2" t="s">
        <v>53</v>
      </c>
      <c r="F12" s="3">
        <v>0.1</v>
      </c>
      <c r="G12" s="3">
        <v>180</v>
      </c>
      <c r="H12" s="3">
        <f t="shared" si="0"/>
        <v>18</v>
      </c>
      <c r="I12" s="2" t="s">
        <v>19</v>
      </c>
      <c r="J12" s="2" t="s">
        <v>54</v>
      </c>
    </row>
    <row r="13" spans="1:10" ht="49.95" customHeight="1" x14ac:dyDescent="0.3">
      <c r="A13" s="2">
        <v>14</v>
      </c>
      <c r="B13" s="2" t="s">
        <v>48</v>
      </c>
      <c r="C13" s="2" t="s">
        <v>55</v>
      </c>
      <c r="D13" s="2" t="s">
        <v>198</v>
      </c>
      <c r="E13" s="2" t="s">
        <v>13</v>
      </c>
      <c r="F13" s="3">
        <v>6</v>
      </c>
      <c r="G13" s="3">
        <v>1</v>
      </c>
      <c r="H13" s="3">
        <f t="shared" si="0"/>
        <v>6</v>
      </c>
      <c r="I13" s="2" t="s">
        <v>56</v>
      </c>
      <c r="J13" s="2" t="s">
        <v>57</v>
      </c>
    </row>
    <row r="14" spans="1:10" ht="49.95" customHeight="1" x14ac:dyDescent="0.3">
      <c r="A14" s="2">
        <v>15</v>
      </c>
      <c r="B14" s="2" t="s">
        <v>58</v>
      </c>
      <c r="C14" s="2" t="s">
        <v>59</v>
      </c>
      <c r="D14" s="2" t="s">
        <v>60</v>
      </c>
      <c r="E14" s="2" t="s">
        <v>53</v>
      </c>
      <c r="F14" s="3">
        <v>1</v>
      </c>
      <c r="G14" s="3">
        <v>180</v>
      </c>
      <c r="H14" s="3">
        <f t="shared" si="0"/>
        <v>180</v>
      </c>
      <c r="I14" s="2" t="s">
        <v>61</v>
      </c>
      <c r="J14" s="2" t="s">
        <v>62</v>
      </c>
    </row>
    <row r="15" spans="1:10" ht="49.95" customHeight="1" x14ac:dyDescent="0.3">
      <c r="A15" s="2">
        <v>16</v>
      </c>
      <c r="B15" s="2" t="s">
        <v>58</v>
      </c>
      <c r="C15" s="2" t="s">
        <v>63</v>
      </c>
      <c r="D15" s="2" t="s">
        <v>64</v>
      </c>
      <c r="E15" s="2" t="s">
        <v>53</v>
      </c>
      <c r="F15" s="3">
        <v>0.5</v>
      </c>
      <c r="G15" s="3">
        <v>180</v>
      </c>
      <c r="H15" s="3">
        <f t="shared" si="0"/>
        <v>90</v>
      </c>
      <c r="I15" s="2" t="s">
        <v>65</v>
      </c>
      <c r="J15" s="2" t="s">
        <v>66</v>
      </c>
    </row>
    <row r="16" spans="1:10" ht="49.95" customHeight="1" x14ac:dyDescent="0.3">
      <c r="A16" s="2">
        <v>17</v>
      </c>
      <c r="B16" s="2" t="s">
        <v>58</v>
      </c>
      <c r="C16" s="2" t="s">
        <v>67</v>
      </c>
      <c r="D16" s="2" t="s">
        <v>68</v>
      </c>
      <c r="E16" s="2" t="s">
        <v>53</v>
      </c>
      <c r="F16" s="3">
        <v>0.3</v>
      </c>
      <c r="G16" s="3">
        <v>180</v>
      </c>
      <c r="H16" s="3">
        <f t="shared" si="0"/>
        <v>54</v>
      </c>
      <c r="I16" s="2" t="s">
        <v>69</v>
      </c>
      <c r="J16" s="2" t="s">
        <v>70</v>
      </c>
    </row>
    <row r="17" spans="1:10" ht="49.95" customHeight="1" x14ac:dyDescent="0.3">
      <c r="A17" s="2">
        <v>18</v>
      </c>
      <c r="B17" s="2" t="s">
        <v>58</v>
      </c>
      <c r="C17" s="2" t="s">
        <v>71</v>
      </c>
      <c r="D17" s="2" t="s">
        <v>72</v>
      </c>
      <c r="E17" s="2" t="s">
        <v>53</v>
      </c>
      <c r="F17" s="3">
        <v>0.2</v>
      </c>
      <c r="G17" s="3">
        <v>180</v>
      </c>
      <c r="H17" s="3">
        <f t="shared" si="0"/>
        <v>36</v>
      </c>
      <c r="I17" s="2" t="s">
        <v>73</v>
      </c>
      <c r="J17" s="2" t="s">
        <v>74</v>
      </c>
    </row>
    <row r="18" spans="1:10" ht="49.95" customHeight="1" x14ac:dyDescent="0.3">
      <c r="A18" s="2">
        <v>19</v>
      </c>
      <c r="B18" s="2" t="s">
        <v>58</v>
      </c>
      <c r="C18" s="2" t="s">
        <v>75</v>
      </c>
      <c r="D18" s="2" t="s">
        <v>76</v>
      </c>
      <c r="E18" s="2" t="s">
        <v>53</v>
      </c>
      <c r="F18" s="3">
        <v>0.5</v>
      </c>
      <c r="G18" s="3">
        <v>180</v>
      </c>
      <c r="H18" s="3">
        <f t="shared" si="0"/>
        <v>90</v>
      </c>
      <c r="I18" s="2" t="s">
        <v>77</v>
      </c>
      <c r="J18" s="2" t="s">
        <v>78</v>
      </c>
    </row>
    <row r="19" spans="1:10" ht="49.95" customHeight="1" x14ac:dyDescent="0.3">
      <c r="A19" s="2">
        <v>20</v>
      </c>
      <c r="B19" s="2" t="s">
        <v>79</v>
      </c>
      <c r="C19" s="2" t="s">
        <v>80</v>
      </c>
      <c r="D19" s="2" t="s">
        <v>81</v>
      </c>
      <c r="E19" s="2" t="s">
        <v>53</v>
      </c>
      <c r="F19" s="3">
        <v>2</v>
      </c>
      <c r="G19" s="3">
        <v>180</v>
      </c>
      <c r="H19" s="3">
        <f t="shared" si="0"/>
        <v>360</v>
      </c>
      <c r="I19" s="2" t="s">
        <v>82</v>
      </c>
      <c r="J19" s="2" t="s">
        <v>83</v>
      </c>
    </row>
    <row r="20" spans="1:10" ht="49.95" customHeight="1" x14ac:dyDescent="0.3">
      <c r="A20" s="2">
        <v>21</v>
      </c>
      <c r="B20" s="2" t="s">
        <v>79</v>
      </c>
      <c r="C20" s="2" t="s">
        <v>84</v>
      </c>
      <c r="D20" s="2" t="s">
        <v>85</v>
      </c>
      <c r="E20" s="2" t="s">
        <v>53</v>
      </c>
      <c r="F20" s="3">
        <v>0.3</v>
      </c>
      <c r="G20" s="3">
        <v>180</v>
      </c>
      <c r="H20" s="3">
        <f t="shared" si="0"/>
        <v>54</v>
      </c>
      <c r="I20" s="2" t="s">
        <v>86</v>
      </c>
      <c r="J20" s="2" t="s">
        <v>87</v>
      </c>
    </row>
    <row r="21" spans="1:10" ht="49.95" customHeight="1" x14ac:dyDescent="0.3">
      <c r="A21" s="2">
        <v>22</v>
      </c>
      <c r="B21" s="2" t="s">
        <v>79</v>
      </c>
      <c r="C21" s="2" t="s">
        <v>88</v>
      </c>
      <c r="D21" s="2" t="s">
        <v>89</v>
      </c>
      <c r="E21" s="2" t="s">
        <v>53</v>
      </c>
      <c r="F21" s="3">
        <v>0.5</v>
      </c>
      <c r="G21" s="3">
        <v>180</v>
      </c>
      <c r="H21" s="3">
        <f t="shared" si="0"/>
        <v>90</v>
      </c>
      <c r="I21" s="2" t="s">
        <v>90</v>
      </c>
      <c r="J21" s="2" t="s">
        <v>91</v>
      </c>
    </row>
    <row r="22" spans="1:10" ht="49.95" customHeight="1" x14ac:dyDescent="0.3">
      <c r="A22" s="2">
        <v>23</v>
      </c>
      <c r="B22" s="2" t="s">
        <v>92</v>
      </c>
      <c r="C22" s="2" t="s">
        <v>93</v>
      </c>
      <c r="D22" s="2" t="s">
        <v>94</v>
      </c>
      <c r="E22" s="2" t="s">
        <v>53</v>
      </c>
      <c r="F22" s="3">
        <v>1.5</v>
      </c>
      <c r="G22" s="3">
        <v>180</v>
      </c>
      <c r="H22" s="3">
        <f t="shared" si="0"/>
        <v>270</v>
      </c>
      <c r="I22" s="2" t="s">
        <v>19</v>
      </c>
      <c r="J22" s="2" t="s">
        <v>95</v>
      </c>
    </row>
    <row r="23" spans="1:10" ht="49.95" customHeight="1" x14ac:dyDescent="0.3">
      <c r="A23" s="2">
        <v>24</v>
      </c>
      <c r="B23" s="2" t="s">
        <v>92</v>
      </c>
      <c r="C23" s="2" t="s">
        <v>96</v>
      </c>
      <c r="D23" s="2" t="s">
        <v>97</v>
      </c>
      <c r="E23" s="2" t="s">
        <v>53</v>
      </c>
      <c r="F23" s="3">
        <v>0.5</v>
      </c>
      <c r="G23" s="3">
        <v>180</v>
      </c>
      <c r="H23" s="3">
        <f t="shared" si="0"/>
        <v>90</v>
      </c>
      <c r="I23" s="2" t="s">
        <v>19</v>
      </c>
      <c r="J23" s="2" t="s">
        <v>98</v>
      </c>
    </row>
    <row r="24" spans="1:10" ht="49.95" customHeight="1" x14ac:dyDescent="0.3">
      <c r="A24" s="2">
        <v>25</v>
      </c>
      <c r="B24" s="2" t="s">
        <v>99</v>
      </c>
      <c r="C24" s="2" t="s">
        <v>100</v>
      </c>
      <c r="D24" s="2" t="s">
        <v>101</v>
      </c>
      <c r="E24" s="2" t="s">
        <v>53</v>
      </c>
      <c r="F24" s="3">
        <v>0.5</v>
      </c>
      <c r="G24" s="3">
        <v>180</v>
      </c>
      <c r="H24" s="3">
        <f t="shared" si="0"/>
        <v>90</v>
      </c>
      <c r="I24" s="2" t="s">
        <v>19</v>
      </c>
      <c r="J24" s="2" t="s">
        <v>102</v>
      </c>
    </row>
    <row r="25" spans="1:10" ht="49.95" customHeight="1" x14ac:dyDescent="0.3">
      <c r="A25" s="2">
        <v>26</v>
      </c>
      <c r="B25" s="2" t="s">
        <v>99</v>
      </c>
      <c r="C25" s="2" t="s">
        <v>103</v>
      </c>
      <c r="D25" s="2" t="s">
        <v>104</v>
      </c>
      <c r="E25" s="2" t="s">
        <v>53</v>
      </c>
      <c r="F25" s="3">
        <v>0.5</v>
      </c>
      <c r="G25" s="3">
        <v>180</v>
      </c>
      <c r="H25" s="3">
        <f t="shared" si="0"/>
        <v>90</v>
      </c>
      <c r="I25" s="2" t="s">
        <v>105</v>
      </c>
      <c r="J25" s="2" t="s">
        <v>106</v>
      </c>
    </row>
    <row r="26" spans="1:10" ht="49.95" customHeight="1" x14ac:dyDescent="0.3">
      <c r="A26" s="2">
        <v>27</v>
      </c>
      <c r="B26" s="2" t="s">
        <v>99</v>
      </c>
      <c r="C26" s="2" t="s">
        <v>107</v>
      </c>
      <c r="D26" s="2" t="s">
        <v>108</v>
      </c>
      <c r="E26" s="2" t="s">
        <v>109</v>
      </c>
      <c r="F26" s="3">
        <v>0.5</v>
      </c>
      <c r="G26" s="3">
        <v>80</v>
      </c>
      <c r="H26" s="3">
        <f t="shared" si="0"/>
        <v>40</v>
      </c>
      <c r="I26" s="2" t="s">
        <v>110</v>
      </c>
      <c r="J26" s="2" t="s">
        <v>111</v>
      </c>
    </row>
    <row r="27" spans="1:10" ht="49.95" customHeight="1" x14ac:dyDescent="0.3">
      <c r="A27" s="2">
        <v>28</v>
      </c>
      <c r="B27" s="2" t="s">
        <v>112</v>
      </c>
      <c r="C27" s="2" t="s">
        <v>113</v>
      </c>
      <c r="D27" s="2" t="s">
        <v>114</v>
      </c>
      <c r="E27" s="2" t="s">
        <v>18</v>
      </c>
      <c r="F27" s="3">
        <v>3</v>
      </c>
      <c r="G27" s="3">
        <v>12</v>
      </c>
      <c r="H27" s="3">
        <f t="shared" si="0"/>
        <v>36</v>
      </c>
      <c r="I27" s="2" t="s">
        <v>47</v>
      </c>
      <c r="J27" s="2" t="s">
        <v>115</v>
      </c>
    </row>
    <row r="28" spans="1:10" ht="49.95" customHeight="1" x14ac:dyDescent="0.3">
      <c r="A28" s="2">
        <v>29</v>
      </c>
      <c r="B28" s="2" t="s">
        <v>112</v>
      </c>
      <c r="C28" s="2" t="s">
        <v>116</v>
      </c>
      <c r="D28" s="2" t="s">
        <v>117</v>
      </c>
      <c r="E28" s="2" t="s">
        <v>18</v>
      </c>
      <c r="F28" s="3">
        <v>2</v>
      </c>
      <c r="G28" s="3">
        <v>12</v>
      </c>
      <c r="H28" s="3">
        <f t="shared" si="0"/>
        <v>24</v>
      </c>
      <c r="I28" s="2" t="s">
        <v>19</v>
      </c>
      <c r="J28" s="2" t="s">
        <v>118</v>
      </c>
    </row>
    <row r="29" spans="1:10" ht="49.95" customHeight="1" x14ac:dyDescent="0.3">
      <c r="A29" s="2">
        <v>30</v>
      </c>
      <c r="B29" s="2" t="s">
        <v>112</v>
      </c>
      <c r="C29" s="2" t="s">
        <v>119</v>
      </c>
      <c r="D29" s="2" t="s">
        <v>120</v>
      </c>
      <c r="E29" s="2" t="s">
        <v>18</v>
      </c>
      <c r="F29" s="3">
        <v>3</v>
      </c>
      <c r="G29" s="3">
        <v>12</v>
      </c>
      <c r="H29" s="3">
        <f t="shared" si="0"/>
        <v>36</v>
      </c>
      <c r="I29" s="2" t="s">
        <v>19</v>
      </c>
      <c r="J29" s="2" t="s">
        <v>121</v>
      </c>
    </row>
    <row r="30" spans="1:10" ht="49.95" customHeight="1" x14ac:dyDescent="0.3">
      <c r="A30" s="2">
        <v>31</v>
      </c>
      <c r="B30" s="2" t="s">
        <v>112</v>
      </c>
      <c r="C30" s="2" t="s">
        <v>122</v>
      </c>
      <c r="D30" s="2" t="s">
        <v>123</v>
      </c>
      <c r="E30" s="2" t="s">
        <v>18</v>
      </c>
      <c r="F30" s="3">
        <v>2</v>
      </c>
      <c r="G30" s="3">
        <v>12</v>
      </c>
      <c r="H30" s="3">
        <f t="shared" si="0"/>
        <v>24</v>
      </c>
      <c r="I30" s="2" t="s">
        <v>19</v>
      </c>
      <c r="J30" s="2" t="s">
        <v>124</v>
      </c>
    </row>
    <row r="31" spans="1:10" ht="49.95" customHeight="1" x14ac:dyDescent="0.3">
      <c r="A31" s="2">
        <v>32</v>
      </c>
      <c r="B31" s="2" t="s">
        <v>125</v>
      </c>
      <c r="C31" s="2" t="s">
        <v>126</v>
      </c>
      <c r="D31" s="2" t="s">
        <v>127</v>
      </c>
      <c r="E31" s="2" t="s">
        <v>18</v>
      </c>
      <c r="F31" s="3">
        <v>1</v>
      </c>
      <c r="G31" s="3">
        <v>12</v>
      </c>
      <c r="H31" s="3">
        <f t="shared" si="0"/>
        <v>12</v>
      </c>
      <c r="I31" s="2" t="s">
        <v>56</v>
      </c>
      <c r="J31" s="2" t="s">
        <v>128</v>
      </c>
    </row>
    <row r="32" spans="1:10" ht="49.95" customHeight="1" x14ac:dyDescent="0.3">
      <c r="A32" s="2">
        <v>33</v>
      </c>
      <c r="B32" s="2" t="s">
        <v>125</v>
      </c>
      <c r="C32" s="2" t="s">
        <v>129</v>
      </c>
      <c r="D32" s="2" t="s">
        <v>130</v>
      </c>
      <c r="E32" s="2" t="s">
        <v>18</v>
      </c>
      <c r="F32" s="3">
        <v>8</v>
      </c>
      <c r="G32" s="3">
        <v>12</v>
      </c>
      <c r="H32" s="3">
        <f t="shared" si="0"/>
        <v>96</v>
      </c>
      <c r="I32" s="2" t="s">
        <v>131</v>
      </c>
      <c r="J32" s="2" t="s">
        <v>132</v>
      </c>
    </row>
    <row r="33" spans="1:10" ht="49.95" customHeight="1" x14ac:dyDescent="0.3">
      <c r="A33" s="2">
        <v>34</v>
      </c>
      <c r="B33" s="2" t="s">
        <v>125</v>
      </c>
      <c r="C33" s="2" t="s">
        <v>133</v>
      </c>
      <c r="D33" s="2" t="s">
        <v>134</v>
      </c>
      <c r="E33" s="2" t="s">
        <v>18</v>
      </c>
      <c r="F33" s="3">
        <v>2</v>
      </c>
      <c r="G33" s="3">
        <v>12</v>
      </c>
      <c r="H33" s="3">
        <f t="shared" si="0"/>
        <v>24</v>
      </c>
      <c r="I33" s="2" t="s">
        <v>135</v>
      </c>
      <c r="J33" s="2" t="s">
        <v>136</v>
      </c>
    </row>
    <row r="34" spans="1:10" ht="49.95" customHeight="1" x14ac:dyDescent="0.3">
      <c r="A34" s="2">
        <v>35</v>
      </c>
      <c r="B34" s="2" t="s">
        <v>137</v>
      </c>
      <c r="C34" s="2" t="s">
        <v>138</v>
      </c>
      <c r="D34" s="2" t="s">
        <v>199</v>
      </c>
      <c r="E34" s="2" t="s">
        <v>139</v>
      </c>
      <c r="F34" s="3">
        <v>6</v>
      </c>
      <c r="G34" s="3">
        <v>4</v>
      </c>
      <c r="H34" s="3">
        <f t="shared" si="0"/>
        <v>24</v>
      </c>
      <c r="I34" s="2" t="s">
        <v>140</v>
      </c>
      <c r="J34" s="2" t="s">
        <v>141</v>
      </c>
    </row>
    <row r="35" spans="1:10" ht="49.95" customHeight="1" x14ac:dyDescent="0.3">
      <c r="A35" s="2">
        <v>36</v>
      </c>
      <c r="B35" s="2" t="s">
        <v>137</v>
      </c>
      <c r="C35" s="2" t="s">
        <v>142</v>
      </c>
      <c r="D35" s="2" t="s">
        <v>143</v>
      </c>
      <c r="E35" s="2" t="s">
        <v>139</v>
      </c>
      <c r="F35" s="3">
        <v>3</v>
      </c>
      <c r="G35" s="3">
        <v>4</v>
      </c>
      <c r="H35" s="3">
        <f t="shared" si="0"/>
        <v>12</v>
      </c>
      <c r="I35" s="2" t="s">
        <v>144</v>
      </c>
      <c r="J35" s="2" t="s">
        <v>145</v>
      </c>
    </row>
    <row r="36" spans="1:10" ht="49.95" customHeight="1" x14ac:dyDescent="0.3">
      <c r="A36" s="2">
        <v>39</v>
      </c>
      <c r="B36" s="2" t="s">
        <v>147</v>
      </c>
      <c r="C36" s="2" t="s">
        <v>148</v>
      </c>
      <c r="D36" s="2" t="s">
        <v>149</v>
      </c>
      <c r="E36" s="2" t="s">
        <v>13</v>
      </c>
      <c r="F36" s="3">
        <v>4</v>
      </c>
      <c r="G36" s="3">
        <v>1</v>
      </c>
      <c r="H36" s="3">
        <f t="shared" si="0"/>
        <v>4</v>
      </c>
      <c r="I36" s="2" t="s">
        <v>150</v>
      </c>
      <c r="J36" s="2" t="s">
        <v>151</v>
      </c>
    </row>
    <row r="37" spans="1:10" ht="49.95" customHeight="1" x14ac:dyDescent="0.3">
      <c r="A37" s="2">
        <v>40</v>
      </c>
      <c r="B37" s="2" t="s">
        <v>147</v>
      </c>
      <c r="C37" s="2" t="s">
        <v>152</v>
      </c>
      <c r="D37" s="2" t="s">
        <v>153</v>
      </c>
      <c r="E37" s="2" t="s">
        <v>13</v>
      </c>
      <c r="F37" s="3">
        <v>4</v>
      </c>
      <c r="G37" s="3">
        <v>1</v>
      </c>
      <c r="H37" s="3">
        <f t="shared" si="0"/>
        <v>4</v>
      </c>
      <c r="I37" s="2" t="s">
        <v>19</v>
      </c>
      <c r="J37" s="2" t="s">
        <v>154</v>
      </c>
    </row>
    <row r="38" spans="1:10" ht="49.95" customHeight="1" x14ac:dyDescent="0.3">
      <c r="A38" s="9">
        <v>41</v>
      </c>
      <c r="B38" s="9" t="s">
        <v>155</v>
      </c>
      <c r="C38" s="9" t="s">
        <v>200</v>
      </c>
      <c r="D38" s="9" t="s">
        <v>156</v>
      </c>
      <c r="E38" s="9" t="s">
        <v>157</v>
      </c>
      <c r="F38" s="10">
        <v>1</v>
      </c>
      <c r="G38" s="10">
        <v>50</v>
      </c>
      <c r="H38" s="10">
        <f t="shared" si="0"/>
        <v>50</v>
      </c>
      <c r="I38" s="9" t="s">
        <v>158</v>
      </c>
      <c r="J38" s="9" t="s">
        <v>159</v>
      </c>
    </row>
    <row r="39" spans="1:10" ht="49.95" customHeight="1" x14ac:dyDescent="0.3">
      <c r="A39" s="9">
        <v>42</v>
      </c>
      <c r="B39" s="9" t="s">
        <v>155</v>
      </c>
      <c r="C39" s="9" t="s">
        <v>160</v>
      </c>
      <c r="D39" s="9" t="s">
        <v>161</v>
      </c>
      <c r="E39" s="9" t="s">
        <v>53</v>
      </c>
      <c r="F39" s="10">
        <v>0.5</v>
      </c>
      <c r="G39" s="10">
        <v>180</v>
      </c>
      <c r="H39" s="10">
        <f t="shared" si="0"/>
        <v>90</v>
      </c>
      <c r="I39" s="9" t="s">
        <v>162</v>
      </c>
      <c r="J39" s="9" t="s">
        <v>163</v>
      </c>
    </row>
    <row r="40" spans="1:10" ht="49.95" customHeight="1" x14ac:dyDescent="0.3">
      <c r="A40" s="9">
        <v>43</v>
      </c>
      <c r="B40" s="9" t="s">
        <v>155</v>
      </c>
      <c r="C40" s="9" t="s">
        <v>164</v>
      </c>
      <c r="D40" s="9" t="s">
        <v>165</v>
      </c>
      <c r="E40" s="9" t="s">
        <v>18</v>
      </c>
      <c r="F40" s="10">
        <v>2</v>
      </c>
      <c r="G40" s="10">
        <v>12</v>
      </c>
      <c r="H40" s="10">
        <f t="shared" si="0"/>
        <v>24</v>
      </c>
      <c r="I40" s="9" t="s">
        <v>166</v>
      </c>
      <c r="J40" s="9" t="s">
        <v>167</v>
      </c>
    </row>
    <row r="41" spans="1:10" ht="49.95" customHeight="1" x14ac:dyDescent="0.3">
      <c r="A41" s="9">
        <v>44</v>
      </c>
      <c r="B41" s="9" t="s">
        <v>155</v>
      </c>
      <c r="C41" s="9" t="s">
        <v>168</v>
      </c>
      <c r="D41" s="9" t="s">
        <v>169</v>
      </c>
      <c r="E41" s="9" t="s">
        <v>170</v>
      </c>
      <c r="F41" s="10">
        <v>0.5</v>
      </c>
      <c r="G41" s="10">
        <v>180</v>
      </c>
      <c r="H41" s="10">
        <f t="shared" si="0"/>
        <v>90</v>
      </c>
      <c r="I41" s="9" t="s">
        <v>26</v>
      </c>
      <c r="J41" s="9" t="s">
        <v>171</v>
      </c>
    </row>
    <row r="42" spans="1:10" ht="49.95" customHeight="1" x14ac:dyDescent="0.3">
      <c r="A42" s="4" t="s">
        <v>172</v>
      </c>
      <c r="B42" s="4"/>
      <c r="C42" s="4"/>
      <c r="D42" s="4"/>
      <c r="E42" s="4"/>
      <c r="F42" s="4"/>
      <c r="G42" s="4"/>
      <c r="H42" s="5">
        <f>SUM(H2:H41)</f>
        <v>2194</v>
      </c>
      <c r="I42" s="4"/>
      <c r="J42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C2" sqref="C2"/>
    </sheetView>
  </sheetViews>
  <sheetFormatPr defaultRowHeight="14.4" x14ac:dyDescent="0.3"/>
  <cols>
    <col min="1" max="1" width="28" customWidth="1"/>
    <col min="2" max="3" width="18" customWidth="1"/>
  </cols>
  <sheetData>
    <row r="1" spans="1:3" x14ac:dyDescent="0.3">
      <c r="A1" s="6" t="s">
        <v>1</v>
      </c>
      <c r="B1" s="6" t="s">
        <v>173</v>
      </c>
      <c r="C1" s="6" t="s">
        <v>174</v>
      </c>
    </row>
    <row r="2" spans="1:3" x14ac:dyDescent="0.3">
      <c r="A2" t="s">
        <v>10</v>
      </c>
      <c r="B2">
        <v>2</v>
      </c>
      <c r="C2">
        <v>32</v>
      </c>
    </row>
    <row r="3" spans="1:3" x14ac:dyDescent="0.3">
      <c r="A3" t="s">
        <v>21</v>
      </c>
      <c r="B3">
        <v>2</v>
      </c>
      <c r="C3">
        <v>16</v>
      </c>
    </row>
    <row r="4" spans="1:3" x14ac:dyDescent="0.3">
      <c r="A4" t="s">
        <v>28</v>
      </c>
      <c r="B4">
        <v>1</v>
      </c>
      <c r="C4">
        <v>8</v>
      </c>
    </row>
    <row r="5" spans="1:3" x14ac:dyDescent="0.3">
      <c r="A5" t="s">
        <v>31</v>
      </c>
      <c r="B5">
        <v>3</v>
      </c>
      <c r="C5">
        <v>12</v>
      </c>
    </row>
    <row r="6" spans="1:3" x14ac:dyDescent="0.3">
      <c r="A6" t="s">
        <v>42</v>
      </c>
      <c r="B6">
        <v>1</v>
      </c>
      <c r="C6">
        <v>6</v>
      </c>
    </row>
    <row r="7" spans="1:3" x14ac:dyDescent="0.3">
      <c r="A7" t="s">
        <v>46</v>
      </c>
      <c r="B7">
        <v>2</v>
      </c>
      <c r="C7">
        <v>22</v>
      </c>
    </row>
    <row r="8" spans="1:3" x14ac:dyDescent="0.3">
      <c r="A8" t="s">
        <v>48</v>
      </c>
      <c r="B8">
        <v>3</v>
      </c>
      <c r="C8">
        <v>43</v>
      </c>
    </row>
    <row r="9" spans="1:3" x14ac:dyDescent="0.3">
      <c r="A9" t="s">
        <v>58</v>
      </c>
      <c r="B9">
        <v>5</v>
      </c>
      <c r="C9">
        <v>625</v>
      </c>
    </row>
    <row r="10" spans="1:3" x14ac:dyDescent="0.3">
      <c r="A10" t="s">
        <v>79</v>
      </c>
      <c r="B10">
        <v>3</v>
      </c>
      <c r="C10">
        <v>700</v>
      </c>
    </row>
    <row r="11" spans="1:3" x14ac:dyDescent="0.3">
      <c r="A11" t="s">
        <v>92</v>
      </c>
      <c r="B11">
        <v>2</v>
      </c>
      <c r="C11">
        <v>500</v>
      </c>
    </row>
    <row r="12" spans="1:3" x14ac:dyDescent="0.3">
      <c r="A12" t="s">
        <v>99</v>
      </c>
      <c r="B12">
        <v>3</v>
      </c>
      <c r="C12">
        <v>290</v>
      </c>
    </row>
    <row r="13" spans="1:3" x14ac:dyDescent="0.3">
      <c r="A13" t="s">
        <v>112</v>
      </c>
      <c r="B13">
        <v>4</v>
      </c>
      <c r="C13">
        <v>120</v>
      </c>
    </row>
    <row r="14" spans="1:3" x14ac:dyDescent="0.3">
      <c r="A14" t="s">
        <v>125</v>
      </c>
      <c r="B14">
        <v>3</v>
      </c>
      <c r="C14">
        <v>132</v>
      </c>
    </row>
    <row r="15" spans="1:3" x14ac:dyDescent="0.3">
      <c r="A15" t="s">
        <v>137</v>
      </c>
      <c r="B15">
        <v>2</v>
      </c>
      <c r="C15">
        <v>36</v>
      </c>
    </row>
    <row r="16" spans="1:3" x14ac:dyDescent="0.3">
      <c r="A16" t="s">
        <v>146</v>
      </c>
      <c r="B16">
        <v>2</v>
      </c>
      <c r="C16">
        <v>72</v>
      </c>
    </row>
    <row r="17" spans="1:3" x14ac:dyDescent="0.3">
      <c r="A17" t="s">
        <v>147</v>
      </c>
      <c r="B17">
        <v>2</v>
      </c>
      <c r="C17">
        <v>8</v>
      </c>
    </row>
    <row r="18" spans="1:3" x14ac:dyDescent="0.3">
      <c r="A18" t="s">
        <v>155</v>
      </c>
      <c r="B18">
        <v>4</v>
      </c>
      <c r="C18">
        <v>324</v>
      </c>
    </row>
    <row r="19" spans="1:3" x14ac:dyDescent="0.3">
      <c r="A19" s="7" t="s">
        <v>172</v>
      </c>
      <c r="B19" s="7">
        <v>44</v>
      </c>
      <c r="C19" s="7">
        <v>2946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B14" sqref="B14"/>
    </sheetView>
  </sheetViews>
  <sheetFormatPr defaultRowHeight="14.4" x14ac:dyDescent="0.3"/>
  <cols>
    <col min="1" max="2" width="40" customWidth="1"/>
  </cols>
  <sheetData>
    <row r="1" spans="1:2" x14ac:dyDescent="0.3">
      <c r="A1" s="8" t="s">
        <v>175</v>
      </c>
      <c r="B1" s="8" t="s">
        <v>176</v>
      </c>
    </row>
    <row r="2" spans="1:2" x14ac:dyDescent="0.3">
      <c r="A2" t="s">
        <v>177</v>
      </c>
      <c r="B2" t="s">
        <v>178</v>
      </c>
    </row>
    <row r="3" spans="1:2" x14ac:dyDescent="0.3">
      <c r="A3" t="s">
        <v>179</v>
      </c>
      <c r="B3" t="s">
        <v>180</v>
      </c>
    </row>
    <row r="4" spans="1:2" x14ac:dyDescent="0.3">
      <c r="A4" t="s">
        <v>181</v>
      </c>
      <c r="B4" t="s">
        <v>182</v>
      </c>
    </row>
    <row r="5" spans="1:2" x14ac:dyDescent="0.3">
      <c r="A5" t="s">
        <v>183</v>
      </c>
      <c r="B5" t="s">
        <v>184</v>
      </c>
    </row>
    <row r="6" spans="1:2" x14ac:dyDescent="0.3">
      <c r="A6" t="s">
        <v>185</v>
      </c>
      <c r="B6" t="s">
        <v>186</v>
      </c>
    </row>
    <row r="7" spans="1:2" x14ac:dyDescent="0.3">
      <c r="A7" t="s">
        <v>187</v>
      </c>
      <c r="B7" t="s">
        <v>188</v>
      </c>
    </row>
    <row r="8" spans="1:2" x14ac:dyDescent="0.3">
      <c r="A8" t="s">
        <v>189</v>
      </c>
      <c r="B8" t="s">
        <v>190</v>
      </c>
    </row>
    <row r="9" spans="1:2" x14ac:dyDescent="0.3">
      <c r="A9" t="s">
        <v>191</v>
      </c>
      <c r="B9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SPOC Manual Effort</vt:lpstr>
      <vt:lpstr>Summary by Stage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Yogendra Das</cp:lastModifiedBy>
  <dcterms:created xsi:type="dcterms:W3CDTF">2026-05-23T06:04:55Z</dcterms:created>
  <dcterms:modified xsi:type="dcterms:W3CDTF">2026-05-26T10:10:10Z</dcterms:modified>
</cp:coreProperties>
</file>