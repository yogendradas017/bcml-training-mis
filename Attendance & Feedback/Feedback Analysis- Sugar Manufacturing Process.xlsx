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ogendra.das\Desktop\Data\yogendra das\Others IMPs\Desktop\"/>
    </mc:Choice>
  </mc:AlternateContent>
  <xr:revisionPtr revIDLastSave="0" documentId="8_{21387C77-8F38-4AD3-A1B1-18F6E9A6E1C7}" xr6:coauthVersionLast="47" xr6:coauthVersionMax="47" xr10:uidLastSave="{00000000-0000-0000-0000-000000000000}"/>
  <bookViews>
    <workbookView xWindow="876" yWindow="216" windowWidth="22164" windowHeight="12024" xr2:uid="{00000000-000D-0000-FFFF-FFFF00000000}"/>
  </bookViews>
  <sheets>
    <sheet name="Sugar Manufacturing Process" sheetId="1" r:id="rId1"/>
    <sheet name="Sheet1" sheetId="4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5" i="1" l="1"/>
  <c r="D75" i="1"/>
  <c r="D89" i="3" l="1"/>
  <c r="E89" i="3"/>
  <c r="F89" i="3"/>
  <c r="G89" i="3"/>
  <c r="D90" i="3"/>
  <c r="E90" i="3"/>
  <c r="F90" i="3"/>
  <c r="G90" i="3"/>
  <c r="D91" i="3"/>
  <c r="E91" i="3"/>
  <c r="F91" i="3"/>
  <c r="G91" i="3"/>
  <c r="D88" i="3"/>
  <c r="E88" i="3"/>
  <c r="F88" i="3"/>
  <c r="G88" i="3"/>
  <c r="D76" i="3"/>
  <c r="E76" i="3"/>
  <c r="F76" i="3"/>
  <c r="G76" i="3"/>
  <c r="D77" i="3"/>
  <c r="E77" i="3"/>
  <c r="F77" i="3"/>
  <c r="G77" i="3"/>
  <c r="D78" i="3"/>
  <c r="E78" i="3"/>
  <c r="F78" i="3"/>
  <c r="G78" i="3"/>
  <c r="D75" i="3"/>
  <c r="E75" i="3"/>
  <c r="F75" i="3"/>
  <c r="G75" i="3"/>
  <c r="D31" i="3"/>
  <c r="E31" i="3"/>
  <c r="F31" i="3"/>
  <c r="G31" i="3"/>
  <c r="H31" i="3"/>
  <c r="D32" i="3"/>
  <c r="E32" i="3"/>
  <c r="F32" i="3"/>
  <c r="G32" i="3"/>
  <c r="H32" i="3"/>
  <c r="D33" i="3"/>
  <c r="E33" i="3"/>
  <c r="F33" i="3"/>
  <c r="G33" i="3"/>
  <c r="H33" i="3"/>
  <c r="D30" i="3"/>
  <c r="E30" i="3"/>
  <c r="F30" i="3"/>
  <c r="G30" i="3"/>
  <c r="H30" i="3"/>
  <c r="D18" i="3"/>
  <c r="E18" i="3"/>
  <c r="F18" i="3"/>
  <c r="G18" i="3"/>
  <c r="H18" i="3"/>
  <c r="D17" i="3"/>
  <c r="E17" i="3"/>
  <c r="F17" i="3"/>
  <c r="G17" i="3"/>
  <c r="H17" i="3"/>
  <c r="D16" i="3"/>
  <c r="E16" i="3"/>
  <c r="F16" i="3"/>
  <c r="G16" i="3"/>
  <c r="H16" i="3"/>
  <c r="D15" i="3"/>
  <c r="E15" i="3"/>
  <c r="F15" i="3"/>
  <c r="G15" i="3"/>
  <c r="H15" i="3"/>
  <c r="D14" i="3"/>
  <c r="E14" i="3"/>
  <c r="F14" i="3"/>
  <c r="G14" i="3"/>
  <c r="H14" i="3"/>
  <c r="H19" i="3" l="1"/>
  <c r="T34" i="1"/>
  <c r="G34" i="1" s="1"/>
  <c r="T33" i="1"/>
  <c r="G33" i="1" s="1"/>
  <c r="T32" i="1"/>
  <c r="G32" i="1" s="1"/>
  <c r="B32" i="1"/>
  <c r="B33" i="1" s="1"/>
  <c r="B34" i="1" s="1"/>
  <c r="T31" i="1"/>
  <c r="G31" i="1" s="1"/>
  <c r="T27" i="1"/>
  <c r="E27" i="1" s="1"/>
  <c r="T25" i="1"/>
  <c r="E25" i="1" s="1"/>
  <c r="B25" i="1"/>
  <c r="B26" i="1" s="1"/>
  <c r="B27" i="1" s="1"/>
  <c r="T24" i="1"/>
  <c r="G24" i="1" s="1"/>
  <c r="T19" i="1"/>
  <c r="D19" i="1" s="1"/>
  <c r="T18" i="1"/>
  <c r="D18" i="1" s="1"/>
  <c r="B18" i="1"/>
  <c r="B19" i="1" s="1"/>
  <c r="B20" i="1" s="1"/>
  <c r="T13" i="1"/>
  <c r="D13" i="1" s="1"/>
  <c r="T12" i="1"/>
  <c r="D12" i="1" s="1"/>
  <c r="T11" i="1"/>
  <c r="D11" i="1" s="1"/>
  <c r="B10" i="1"/>
  <c r="B11" i="1" s="1"/>
  <c r="B12" i="1" s="1"/>
  <c r="B13" i="1" s="1"/>
  <c r="T9" i="1"/>
  <c r="D9" i="1" s="1"/>
  <c r="D32" i="1" l="1"/>
  <c r="D33" i="1"/>
  <c r="D34" i="1"/>
  <c r="D31" i="1"/>
  <c r="D27" i="1"/>
  <c r="D25" i="1"/>
  <c r="D24" i="1"/>
  <c r="E32" i="1"/>
  <c r="E31" i="1"/>
  <c r="F31" i="1"/>
  <c r="E34" i="1"/>
  <c r="F34" i="1"/>
  <c r="F33" i="1"/>
  <c r="E33" i="1"/>
  <c r="F32" i="1"/>
  <c r="F27" i="1"/>
  <c r="G27" i="1"/>
  <c r="G25" i="1"/>
  <c r="F25" i="1"/>
  <c r="E24" i="1"/>
  <c r="F24" i="1"/>
  <c r="F11" i="1"/>
  <c r="E11" i="1"/>
  <c r="G11" i="1"/>
  <c r="F18" i="1"/>
  <c r="G18" i="1"/>
  <c r="E12" i="1"/>
  <c r="F12" i="1"/>
  <c r="G12" i="1"/>
  <c r="T26" i="1"/>
  <c r="D26" i="1" s="1"/>
  <c r="E9" i="1"/>
  <c r="F9" i="1"/>
  <c r="T10" i="1"/>
  <c r="F13" i="1"/>
  <c r="F19" i="1"/>
  <c r="T20" i="1"/>
  <c r="E13" i="1"/>
  <c r="E19" i="1"/>
  <c r="G9" i="1"/>
  <c r="G13" i="1"/>
  <c r="T17" i="1"/>
  <c r="D17" i="1" s="1"/>
  <c r="G19" i="1"/>
  <c r="E18" i="1"/>
  <c r="F10" i="1" l="1"/>
  <c r="D10" i="1"/>
  <c r="G26" i="1"/>
  <c r="F26" i="1"/>
  <c r="E26" i="1"/>
  <c r="H9" i="1"/>
  <c r="I9" i="1" s="1"/>
  <c r="G20" i="1"/>
  <c r="H19" i="1"/>
  <c r="I19" i="1" s="1"/>
  <c r="H33" i="1"/>
  <c r="I33" i="1" s="1"/>
  <c r="H32" i="1"/>
  <c r="I32" i="1" s="1"/>
  <c r="H18" i="1"/>
  <c r="I18" i="1" s="1"/>
  <c r="G17" i="1"/>
  <c r="H13" i="1"/>
  <c r="I13" i="1" s="1"/>
  <c r="F20" i="1"/>
  <c r="E10" i="1"/>
  <c r="H12" i="1"/>
  <c r="I12" i="1" s="1"/>
  <c r="H25" i="1"/>
  <c r="I25" i="1" s="1"/>
  <c r="E17" i="1"/>
  <c r="H11" i="1"/>
  <c r="I11" i="1" s="1"/>
  <c r="F17" i="1"/>
  <c r="E20" i="1"/>
  <c r="D20" i="1"/>
  <c r="G10" i="1"/>
  <c r="H26" i="1" l="1"/>
  <c r="I26" i="1" s="1"/>
  <c r="H31" i="1"/>
  <c r="I31" i="1" s="1"/>
  <c r="H24" i="1"/>
  <c r="I24" i="1" s="1"/>
  <c r="H34" i="1"/>
  <c r="I34" i="1" s="1"/>
  <c r="H10" i="1"/>
  <c r="H17" i="1"/>
  <c r="H20" i="1"/>
  <c r="I20" i="1" s="1"/>
  <c r="H27" i="1"/>
  <c r="I27" i="1" s="1"/>
  <c r="H35" i="1" l="1"/>
  <c r="I35" i="1" s="1"/>
  <c r="I10" i="1"/>
  <c r="H14" i="1"/>
  <c r="I17" i="1"/>
  <c r="H21" i="1"/>
  <c r="I21" i="1" s="1"/>
  <c r="H28" i="1"/>
  <c r="I28" i="1" s="1"/>
  <c r="H37" i="1" l="1"/>
  <c r="I37" i="1" s="1"/>
  <c r="I14" i="1"/>
</calcChain>
</file>

<file path=xl/sharedStrings.xml><?xml version="1.0" encoding="utf-8"?>
<sst xmlns="http://schemas.openxmlformats.org/spreadsheetml/2006/main" count="206" uniqueCount="63">
  <si>
    <t>Training Date         :</t>
  </si>
  <si>
    <t>Programme title    :</t>
  </si>
  <si>
    <t>Faculty                     :</t>
  </si>
  <si>
    <t>S.No.</t>
  </si>
  <si>
    <t>Programme Feedback</t>
  </si>
  <si>
    <t>Strongly disagree</t>
  </si>
  <si>
    <t>disagree</t>
  </si>
  <si>
    <t>Agree</t>
  </si>
  <si>
    <t>Strongly Agree</t>
  </si>
  <si>
    <t>Total Score</t>
  </si>
  <si>
    <t>Total</t>
  </si>
  <si>
    <t>The objectives of the programme were clearly explained</t>
  </si>
  <si>
    <t>The programme was well structured</t>
  </si>
  <si>
    <t>The presentation was appropriate for this group in terms of content</t>
  </si>
  <si>
    <t>The quality of the presentation was high</t>
  </si>
  <si>
    <t>The time allocation for the programme was reasonable</t>
  </si>
  <si>
    <t>Sub Total</t>
  </si>
  <si>
    <t>Quality of inputs by the faculty was appropriate.</t>
  </si>
  <si>
    <t>The communication of the faculty was clear.</t>
  </si>
  <si>
    <t>Questions/queries  were responded by the faculty</t>
  </si>
  <si>
    <t xml:space="preserve">The participants were well involved by the faculty </t>
  </si>
  <si>
    <t>Overall Satisfaction</t>
  </si>
  <si>
    <t>a</t>
  </si>
  <si>
    <t>What were the key learing from the programme</t>
  </si>
  <si>
    <t>b</t>
  </si>
  <si>
    <t>Any new suggestions?</t>
  </si>
  <si>
    <t>5th, 6th 7th August, 2021</t>
  </si>
  <si>
    <t>Sugar Manufacturing Process</t>
  </si>
  <si>
    <t>Mr. Rajendra Bhosle, Mr. D B Sapkal, Mr. Simachala Panda- VSI Pune</t>
  </si>
  <si>
    <t>Faculty Feedback (Mr. Rajendra Bhosle)</t>
  </si>
  <si>
    <t>Faculty Feedback (Mr. V S D B Sapkal)</t>
  </si>
  <si>
    <t>Faculty Feedback (Mr. Simachala Panda)</t>
  </si>
  <si>
    <t>Well structured program is such a manner that there is gain in knowledge as well as to meet all production line up on one platform. Basic refreshing course covered in all aspects</t>
  </si>
  <si>
    <t>This type of program should be organized at least once a year so that knowledge sharing and brain storming take place</t>
  </si>
  <si>
    <t>This program increased my knowledge regarding every presentation</t>
  </si>
  <si>
    <t>This type of program will arrange at least once in a year</t>
  </si>
  <si>
    <t>Well knowledgeful program</t>
  </si>
  <si>
    <t>Should be organized on more topics</t>
  </si>
  <si>
    <t>It's a very knowledgable program</t>
  </si>
  <si>
    <t>Other programs should be organized in future also</t>
  </si>
  <si>
    <t>Procedure to operate ETP, Tubewell water extraction minimum, steam consumption reduction</t>
  </si>
  <si>
    <t>This type of program again organized</t>
  </si>
  <si>
    <t>How to control water pollution as per norms of CPCB, UPCB</t>
  </si>
  <si>
    <t>Section is very useful so it should be organized next time again</t>
  </si>
  <si>
    <t>Water Management, B Heavy Molasses Clarification, CPU</t>
  </si>
  <si>
    <t>Knowledge enhance program. This type of program should go on time to time so that we teach latest technology and do better for company</t>
  </si>
  <si>
    <t>Physical Checking frequency to be improved along with automation. Proof stick checking of m/c. AL use in PAN(at which position to apply); shock load to be avoided to better function of ETP</t>
  </si>
  <si>
    <t>We have learned about theory application to practical and discussion with participants are very much knowledgable</t>
  </si>
  <si>
    <t>Water Management, PAN Boiling</t>
  </si>
  <si>
    <t>Topics related with advanced technological developmentin Sugar Industry should be covered like presentation by M/S SEDL, M/s IPRO etc.</t>
  </si>
  <si>
    <t>It was a knowledge sharing program. Very good program started by Company</t>
  </si>
  <si>
    <t>Revision of knowledge regarding subjects and topics discussed during meeting. PPTs are very good</t>
  </si>
  <si>
    <t>Refreshing and learning about the sugar manufacturing process</t>
  </si>
  <si>
    <t>Total score in %</t>
  </si>
  <si>
    <t>Average Outcome</t>
  </si>
  <si>
    <t>Programme Rating</t>
  </si>
  <si>
    <t>Faculty Rating (Mr. Rajendra Bhosle)</t>
  </si>
  <si>
    <t>Faculty Rating (Mr. D B Sapkal)</t>
  </si>
  <si>
    <t>Faculty Rating (Mr. Simanchala Panda)</t>
  </si>
  <si>
    <t xml:space="preserve">Overall Satisfaction level </t>
  </si>
  <si>
    <t xml:space="preserve">out of4 </t>
  </si>
  <si>
    <t xml:space="preserve">Summary </t>
  </si>
  <si>
    <t>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</si>
</sst>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Bahnschrift"/>
      <family val="2"/>
    </font>
    <font>
      <b/>
      <sz val="16"/>
      <color theme="1"/>
      <name val="Bahnschrif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15" fontId="3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vertic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1" xfId="0" applyFill="1" applyBorder="1" applyProtection="1">
      <protection locked="0"/>
    </xf>
    <xf numFmtId="0" fontId="0" fillId="2" borderId="1" xfId="0" applyFill="1" applyBorder="1" applyAlignment="1" applyProtection="1">
      <alignment horizontal="center"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2" fontId="0" fillId="0" borderId="1" xfId="0" applyNumberFormat="1" applyBorder="1" applyProtection="1">
      <protection locked="0"/>
    </xf>
    <xf numFmtId="2" fontId="0" fillId="0" borderId="0" xfId="0" applyNumberFormat="1" applyProtection="1">
      <protection locked="0"/>
    </xf>
    <xf numFmtId="0" fontId="0" fillId="0" borderId="1" xfId="0" applyBorder="1"/>
    <xf numFmtId="2" fontId="0" fillId="0" borderId="1" xfId="0" applyNumberFormat="1" applyBorder="1"/>
    <xf numFmtId="0" fontId="0" fillId="2" borderId="3" xfId="0" applyFill="1" applyBorder="1" applyAlignment="1" applyProtection="1">
      <alignment horizontal="center"/>
      <protection locked="0"/>
    </xf>
    <xf numFmtId="0" fontId="0" fillId="2" borderId="3" xfId="0" applyFill="1" applyBorder="1" applyProtection="1">
      <protection locked="0"/>
    </xf>
    <xf numFmtId="2" fontId="2" fillId="3" borderId="1" xfId="0" applyNumberFormat="1" applyFont="1" applyFill="1" applyBorder="1" applyProtection="1">
      <protection locked="0"/>
    </xf>
    <xf numFmtId="2" fontId="2" fillId="3" borderId="0" xfId="0" applyNumberFormat="1" applyFont="1" applyFill="1" applyProtection="1">
      <protection locked="0"/>
    </xf>
    <xf numFmtId="0" fontId="0" fillId="2" borderId="3" xfId="0" applyFill="1" applyBorder="1"/>
    <xf numFmtId="2" fontId="0" fillId="2" borderId="1" xfId="0" applyNumberFormat="1" applyFill="1" applyBorder="1"/>
    <xf numFmtId="2" fontId="0" fillId="0" borderId="2" xfId="0" applyNumberFormat="1" applyBorder="1" applyProtection="1">
      <protection locked="0"/>
    </xf>
    <xf numFmtId="2" fontId="0" fillId="0" borderId="2" xfId="0" applyNumberFormat="1" applyBorder="1"/>
    <xf numFmtId="164" fontId="0" fillId="0" borderId="0" xfId="0" applyNumberFormat="1"/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Protection="1">
      <protection locked="0"/>
    </xf>
    <xf numFmtId="0" fontId="0" fillId="2" borderId="4" xfId="0" applyFill="1" applyBorder="1" applyProtection="1">
      <protection locked="0"/>
    </xf>
    <xf numFmtId="2" fontId="2" fillId="3" borderId="5" xfId="0" applyNumberFormat="1" applyFont="1" applyFill="1" applyBorder="1" applyProtection="1">
      <protection locked="0"/>
    </xf>
    <xf numFmtId="2" fontId="2" fillId="0" borderId="0" xfId="0" applyNumberFormat="1" applyFont="1" applyProtection="1"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6" xfId="0" applyFill="1" applyBorder="1" applyProtection="1">
      <protection locked="0"/>
    </xf>
    <xf numFmtId="2" fontId="2" fillId="3" borderId="7" xfId="1" applyNumberFormat="1" applyFont="1" applyFill="1" applyBorder="1" applyProtection="1">
      <protection locked="0"/>
    </xf>
    <xf numFmtId="9" fontId="1" fillId="0" borderId="0" xfId="1" applyFont="1" applyFill="1" applyBorder="1"/>
    <xf numFmtId="0" fontId="2" fillId="0" borderId="0" xfId="0" applyFont="1"/>
    <xf numFmtId="2" fontId="2" fillId="0" borderId="2" xfId="0" applyNumberFormat="1" applyFont="1" applyBorder="1" applyProtection="1">
      <protection locked="0"/>
    </xf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165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3" borderId="1" xfId="0" applyNumberFormat="1" applyFill="1" applyBorder="1"/>
    <xf numFmtId="9" fontId="0" fillId="0" borderId="1" xfId="1" applyFont="1" applyBorder="1"/>
    <xf numFmtId="2" fontId="0" fillId="0" borderId="1" xfId="0" applyNumberForma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Rating</a:t>
            </a:r>
            <a:r>
              <a:rPr lang="en-US" baseline="0"/>
              <a:t> </a:t>
            </a:r>
            <a:r>
              <a:rPr lang="en-US"/>
              <a:t>out of 4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'Sugar Manufacturing Process'!$D$70</c:f>
              <c:strCache>
                <c:ptCount val="1"/>
                <c:pt idx="0">
                  <c:v>out of4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'Sugar Manufacturing Process'!$C$71:$C$75</c:f>
              <c:strCache>
                <c:ptCount val="5"/>
                <c:pt idx="0">
                  <c:v>Programme Rating</c:v>
                </c:pt>
                <c:pt idx="1">
                  <c:v>Faculty Rating (Mr. Rajendra Bhosle)</c:v>
                </c:pt>
                <c:pt idx="2">
                  <c:v>Faculty Rating (Mr. D B Sapkal)</c:v>
                </c:pt>
                <c:pt idx="3">
                  <c:v>Faculty Rating (Mr. Simanchala Panda)</c:v>
                </c:pt>
                <c:pt idx="4">
                  <c:v>Overall Satisfaction level </c:v>
                </c:pt>
              </c:strCache>
            </c:strRef>
          </c:cat>
          <c:val>
            <c:numRef>
              <c:f>'Sugar Manufacturing Process'!$D$71:$D$75</c:f>
              <c:numCache>
                <c:formatCode>0.00</c:formatCode>
                <c:ptCount val="5"/>
                <c:pt idx="0">
                  <c:v>3.5200000000000005</c:v>
                </c:pt>
                <c:pt idx="1">
                  <c:v>3.5666666666666669</c:v>
                </c:pt>
                <c:pt idx="2">
                  <c:v>3.625</c:v>
                </c:pt>
                <c:pt idx="3">
                  <c:v>3.5437500000000002</c:v>
                </c:pt>
                <c:pt idx="4">
                  <c:v>3.5638541666666672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4-42F5-B621-BAFB7690E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953961936"/>
        <c:axId val="1953969424"/>
        <c:axId val="0"/>
      </c:bar3DChart>
      <c:catAx>
        <c:axId val="1953961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969424"/>
        <c:crosses val="autoZero"/>
        <c:auto val="1"/>
        <c:lblAlgn val="ctr"/>
        <c:lblOffset val="100"/>
        <c:noMultiLvlLbl val="0"/>
      </c:catAx>
      <c:valAx>
        <c:axId val="195396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96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8737022980041171E-2"/>
          <c:y val="0.24578420605225765"/>
          <c:w val="0.92045307737109228"/>
          <c:h val="0.59258092738407697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Sheet2!$D$13</c:f>
              <c:strCache>
                <c:ptCount val="1"/>
                <c:pt idx="0">
                  <c:v>Strongly disagree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Sheet2!$C$14:$C$18</c:f>
              <c:strCache>
                <c:ptCount val="5"/>
                <c:pt idx="0">
                  <c:v>The objectives of the programme were clearly explained</c:v>
                </c:pt>
                <c:pt idx="1">
                  <c:v>The programme was well structured</c:v>
                </c:pt>
                <c:pt idx="2">
                  <c:v>The presentation was appropriate for this group in terms of content</c:v>
                </c:pt>
                <c:pt idx="3">
                  <c:v>The quality of the presentation was high</c:v>
                </c:pt>
                <c:pt idx="4">
                  <c:v>The time allocation for the programme was reasonable</c:v>
                </c:pt>
              </c:strCache>
            </c:strRef>
          </c:cat>
          <c:val>
            <c:numRef>
              <c:f>Sheet2!$D$14:$D$18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0-4A6E-A5D1-679F9686CE95}"/>
            </c:ext>
          </c:extLst>
        </c:ser>
        <c:ser>
          <c:idx val="1"/>
          <c:order val="1"/>
          <c:tx>
            <c:strRef>
              <c:f>Sheet2!$E$13</c:f>
              <c:strCache>
                <c:ptCount val="1"/>
                <c:pt idx="0">
                  <c:v>disagree</c:v>
                </c:pt>
              </c:strCache>
            </c:strRef>
          </c:tx>
          <c:spPr>
            <a:gradFill>
              <a:gsLst>
                <a:gs pos="100000">
                  <a:schemeClr val="accent2">
                    <a:alpha val="0"/>
                  </a:schemeClr>
                </a:gs>
                <a:gs pos="50000">
                  <a:schemeClr val="accent2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Sheet2!$C$14:$C$18</c:f>
              <c:strCache>
                <c:ptCount val="5"/>
                <c:pt idx="0">
                  <c:v>The objectives of the programme were clearly explained</c:v>
                </c:pt>
                <c:pt idx="1">
                  <c:v>The programme was well structured</c:v>
                </c:pt>
                <c:pt idx="2">
                  <c:v>The presentation was appropriate for this group in terms of content</c:v>
                </c:pt>
                <c:pt idx="3">
                  <c:v>The quality of the presentation was high</c:v>
                </c:pt>
                <c:pt idx="4">
                  <c:v>The time allocation for the programme was reasonable</c:v>
                </c:pt>
              </c:strCache>
            </c:strRef>
          </c:cat>
          <c:val>
            <c:numRef>
              <c:f>Sheet2!$E$14:$E$18</c:f>
              <c:numCache>
                <c:formatCode>0%</c:formatCode>
                <c:ptCount val="5"/>
                <c:pt idx="0">
                  <c:v>2.5000000000000001E-2</c:v>
                </c:pt>
                <c:pt idx="1">
                  <c:v>0</c:v>
                </c:pt>
                <c:pt idx="2">
                  <c:v>1.2500000000000001E-2</c:v>
                </c:pt>
                <c:pt idx="3">
                  <c:v>1.2500000000000001E-2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10-4A6E-A5D1-679F9686CE95}"/>
            </c:ext>
          </c:extLst>
        </c:ser>
        <c:ser>
          <c:idx val="2"/>
          <c:order val="2"/>
          <c:tx>
            <c:strRef>
              <c:f>Sheet2!$F$13</c:f>
              <c:strCache>
                <c:ptCount val="1"/>
                <c:pt idx="0">
                  <c:v>Agree</c:v>
                </c:pt>
              </c:strCache>
            </c:strRef>
          </c:tx>
          <c:spPr>
            <a:gradFill>
              <a:gsLst>
                <a:gs pos="100000">
                  <a:schemeClr val="accent3">
                    <a:alpha val="0"/>
                  </a:schemeClr>
                </a:gs>
                <a:gs pos="50000">
                  <a:schemeClr val="accent3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Sheet2!$C$14:$C$18</c:f>
              <c:strCache>
                <c:ptCount val="5"/>
                <c:pt idx="0">
                  <c:v>The objectives of the programme were clearly explained</c:v>
                </c:pt>
                <c:pt idx="1">
                  <c:v>The programme was well structured</c:v>
                </c:pt>
                <c:pt idx="2">
                  <c:v>The presentation was appropriate for this group in terms of content</c:v>
                </c:pt>
                <c:pt idx="3">
                  <c:v>The quality of the presentation was high</c:v>
                </c:pt>
                <c:pt idx="4">
                  <c:v>The time allocation for the programme was reasonable</c:v>
                </c:pt>
              </c:strCache>
            </c:strRef>
          </c:cat>
          <c:val>
            <c:numRef>
              <c:f>Sheet2!$F$14:$F$18</c:f>
              <c:numCache>
                <c:formatCode>0%</c:formatCode>
                <c:ptCount val="5"/>
                <c:pt idx="0">
                  <c:v>0.35625000000000001</c:v>
                </c:pt>
                <c:pt idx="1">
                  <c:v>0.35625000000000001</c:v>
                </c:pt>
                <c:pt idx="2">
                  <c:v>0.35625000000000001</c:v>
                </c:pt>
                <c:pt idx="3">
                  <c:v>0.35625000000000001</c:v>
                </c:pt>
                <c:pt idx="4">
                  <c:v>0.22500000000000001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10-4A6E-A5D1-679F9686CE95}"/>
            </c:ext>
          </c:extLst>
        </c:ser>
        <c:ser>
          <c:idx val="3"/>
          <c:order val="3"/>
          <c:tx>
            <c:strRef>
              <c:f>Sheet2!$G$13</c:f>
              <c:strCache>
                <c:ptCount val="1"/>
                <c:pt idx="0">
                  <c:v>Strongly Agree</c:v>
                </c:pt>
              </c:strCache>
            </c:strRef>
          </c:tx>
          <c:spPr>
            <a:gradFill>
              <a:gsLst>
                <a:gs pos="100000">
                  <a:schemeClr val="accent4">
                    <a:alpha val="0"/>
                  </a:schemeClr>
                </a:gs>
                <a:gs pos="50000">
                  <a:schemeClr val="accent4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Sheet2!$C$14:$C$18</c:f>
              <c:strCache>
                <c:ptCount val="5"/>
                <c:pt idx="0">
                  <c:v>The objectives of the programme were clearly explained</c:v>
                </c:pt>
                <c:pt idx="1">
                  <c:v>The programme was well structured</c:v>
                </c:pt>
                <c:pt idx="2">
                  <c:v>The presentation was appropriate for this group in terms of content</c:v>
                </c:pt>
                <c:pt idx="3">
                  <c:v>The quality of the presentation was high</c:v>
                </c:pt>
                <c:pt idx="4">
                  <c:v>The time allocation for the programme was reasonable</c:v>
                </c:pt>
              </c:strCache>
            </c:strRef>
          </c:cat>
          <c:val>
            <c:numRef>
              <c:f>Sheet2!$G$14:$G$18</c:f>
              <c:numCache>
                <c:formatCode>0%</c:formatCode>
                <c:ptCount val="5"/>
                <c:pt idx="0">
                  <c:v>0.47499999999999998</c:v>
                </c:pt>
                <c:pt idx="1">
                  <c:v>0.52500000000000002</c:v>
                </c:pt>
                <c:pt idx="2">
                  <c:v>0.5</c:v>
                </c:pt>
                <c:pt idx="3">
                  <c:v>0.5</c:v>
                </c:pt>
                <c:pt idx="4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10-4A6E-A5D1-679F9686CE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0"/>
        <c:shape val="box"/>
        <c:axId val="344467616"/>
        <c:axId val="344472608"/>
        <c:axId val="435230016"/>
      </c:bar3DChart>
      <c:catAx>
        <c:axId val="34446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72608"/>
        <c:crosses val="autoZero"/>
        <c:auto val="1"/>
        <c:lblAlgn val="ctr"/>
        <c:lblOffset val="100"/>
        <c:noMultiLvlLbl val="0"/>
      </c:catAx>
      <c:valAx>
        <c:axId val="34447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67616"/>
        <c:crosses val="autoZero"/>
        <c:crossBetween val="between"/>
      </c:valAx>
      <c:serAx>
        <c:axId val="435230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7260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793642174038591"/>
          <c:y val="0.147540951865033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Sheet2!$D$29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Sheet2!$C$30:$C$33</c:f>
              <c:strCache>
                <c:ptCount val="4"/>
                <c:pt idx="0">
                  <c:v>Quality of inputs by the faculty was appropriate.</c:v>
                </c:pt>
                <c:pt idx="1">
                  <c:v>The communication of the faculty was clear.</c:v>
                </c:pt>
                <c:pt idx="2">
                  <c:v>Questions/queries  were responded by the faculty</c:v>
                </c:pt>
                <c:pt idx="3">
                  <c:v>The participants were well involved by the faculty </c:v>
                </c:pt>
              </c:strCache>
            </c:strRef>
          </c:cat>
          <c:val>
            <c:numRef>
              <c:f>Sheet2!$D$30:$D$33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7-4923-AF9F-D3FD1D52E858}"/>
            </c:ext>
          </c:extLst>
        </c:ser>
        <c:ser>
          <c:idx val="1"/>
          <c:order val="1"/>
          <c:tx>
            <c:strRef>
              <c:f>Sheet2!$E$29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Sheet2!$C$30:$C$33</c:f>
              <c:strCache>
                <c:ptCount val="4"/>
                <c:pt idx="0">
                  <c:v>Quality of inputs by the faculty was appropriate.</c:v>
                </c:pt>
                <c:pt idx="1">
                  <c:v>The communication of the faculty was clear.</c:v>
                </c:pt>
                <c:pt idx="2">
                  <c:v>Questions/queries  were responded by the faculty</c:v>
                </c:pt>
                <c:pt idx="3">
                  <c:v>The participants were well involved by the faculty </c:v>
                </c:pt>
              </c:strCache>
            </c:strRef>
          </c:cat>
          <c:val>
            <c:numRef>
              <c:f>Sheet2!$E$30:$E$33</c:f>
              <c:numCache>
                <c:formatCode>0%</c:formatCode>
                <c:ptCount val="4"/>
                <c:pt idx="0">
                  <c:v>3.3333333333333333E-2</c:v>
                </c:pt>
                <c:pt idx="1">
                  <c:v>0</c:v>
                </c:pt>
                <c:pt idx="2">
                  <c:v>1.6666666666666666E-2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F7-4923-AF9F-D3FD1D52E858}"/>
            </c:ext>
          </c:extLst>
        </c:ser>
        <c:ser>
          <c:idx val="2"/>
          <c:order val="2"/>
          <c:tx>
            <c:strRef>
              <c:f>Sheet2!$F$29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3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Sheet2!$C$30:$C$33</c:f>
              <c:strCache>
                <c:ptCount val="4"/>
                <c:pt idx="0">
                  <c:v>Quality of inputs by the faculty was appropriate.</c:v>
                </c:pt>
                <c:pt idx="1">
                  <c:v>The communication of the faculty was clear.</c:v>
                </c:pt>
                <c:pt idx="2">
                  <c:v>Questions/queries  were responded by the faculty</c:v>
                </c:pt>
                <c:pt idx="3">
                  <c:v>The participants were well involved by the faculty </c:v>
                </c:pt>
              </c:strCache>
            </c:strRef>
          </c:cat>
          <c:val>
            <c:numRef>
              <c:f>Sheet2!$F$30:$F$33</c:f>
              <c:numCache>
                <c:formatCode>0%</c:formatCode>
                <c:ptCount val="4"/>
                <c:pt idx="0">
                  <c:v>0.32500000000000001</c:v>
                </c:pt>
                <c:pt idx="1">
                  <c:v>0.35</c:v>
                </c:pt>
                <c:pt idx="2">
                  <c:v>0.35</c:v>
                </c:pt>
                <c:pt idx="3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F7-4923-AF9F-D3FD1D52E858}"/>
            </c:ext>
          </c:extLst>
        </c:ser>
        <c:ser>
          <c:idx val="3"/>
          <c:order val="3"/>
          <c:tx>
            <c:strRef>
              <c:f>Sheet2!$G$29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4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Sheet2!$C$30:$C$33</c:f>
              <c:strCache>
                <c:ptCount val="4"/>
                <c:pt idx="0">
                  <c:v>Quality of inputs by the faculty was appropriate.</c:v>
                </c:pt>
                <c:pt idx="1">
                  <c:v>The communication of the faculty was clear.</c:v>
                </c:pt>
                <c:pt idx="2">
                  <c:v>Questions/queries  were responded by the faculty</c:v>
                </c:pt>
                <c:pt idx="3">
                  <c:v>The participants were well involved by the faculty </c:v>
                </c:pt>
              </c:strCache>
            </c:strRef>
          </c:cat>
          <c:val>
            <c:numRef>
              <c:f>Sheet2!$G$30:$G$33</c:f>
              <c:numCache>
                <c:formatCode>0%</c:formatCode>
                <c:ptCount val="4"/>
                <c:pt idx="0">
                  <c:v>0.5</c:v>
                </c:pt>
                <c:pt idx="1">
                  <c:v>0.53333333333333333</c:v>
                </c:pt>
                <c:pt idx="2">
                  <c:v>0.5</c:v>
                </c:pt>
                <c:pt idx="3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F7-4923-AF9F-D3FD1D52E8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345458192"/>
        <c:axId val="345459024"/>
        <c:axId val="357566816"/>
      </c:bar3DChart>
      <c:catAx>
        <c:axId val="34545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459024"/>
        <c:crosses val="autoZero"/>
        <c:auto val="1"/>
        <c:lblAlgn val="ctr"/>
        <c:lblOffset val="100"/>
        <c:noMultiLvlLbl val="0"/>
      </c:catAx>
      <c:valAx>
        <c:axId val="345459024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345458192"/>
        <c:crosses val="autoZero"/>
        <c:crossBetween val="between"/>
      </c:valAx>
      <c:serAx>
        <c:axId val="357566816"/>
        <c:scaling>
          <c:orientation val="minMax"/>
        </c:scaling>
        <c:delete val="1"/>
        <c:axPos val="b"/>
        <c:majorTickMark val="none"/>
        <c:minorTickMark val="none"/>
        <c:tickLblPos val="nextTo"/>
        <c:crossAx val="345459024"/>
        <c:crosses val="autoZero"/>
      </c:ser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0567147856517937E-2"/>
          <c:y val="0.20168671624380285"/>
          <c:w val="0.7068554243219598"/>
          <c:h val="0.36052311169437151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Sheet2!$D$74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Sheet2!$C$75:$C$78</c:f>
              <c:strCache>
                <c:ptCount val="4"/>
                <c:pt idx="0">
                  <c:v>Quality of inputs by the faculty was appropriate.</c:v>
                </c:pt>
                <c:pt idx="1">
                  <c:v>The communication of the faculty was clear.</c:v>
                </c:pt>
                <c:pt idx="2">
                  <c:v>Questions/queries  were responded by the faculty</c:v>
                </c:pt>
                <c:pt idx="3">
                  <c:v>The participants were well involved by the faculty </c:v>
                </c:pt>
              </c:strCache>
            </c:strRef>
          </c:cat>
          <c:val>
            <c:numRef>
              <c:f>Sheet2!$D$75:$D$78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1-4893-8734-86106F559CB3}"/>
            </c:ext>
          </c:extLst>
        </c:ser>
        <c:ser>
          <c:idx val="1"/>
          <c:order val="1"/>
          <c:tx>
            <c:strRef>
              <c:f>Sheet2!$E$74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Sheet2!$C$75:$C$78</c:f>
              <c:strCache>
                <c:ptCount val="4"/>
                <c:pt idx="0">
                  <c:v>Quality of inputs by the faculty was appropriate.</c:v>
                </c:pt>
                <c:pt idx="1">
                  <c:v>The communication of the faculty was clear.</c:v>
                </c:pt>
                <c:pt idx="2">
                  <c:v>Questions/queries  were responded by the faculty</c:v>
                </c:pt>
                <c:pt idx="3">
                  <c:v>The participants were well involved by the faculty </c:v>
                </c:pt>
              </c:strCache>
            </c:strRef>
          </c:cat>
          <c:val>
            <c:numRef>
              <c:f>Sheet2!$E$75:$E$78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31-4893-8734-86106F559CB3}"/>
            </c:ext>
          </c:extLst>
        </c:ser>
        <c:ser>
          <c:idx val="2"/>
          <c:order val="2"/>
          <c:tx>
            <c:strRef>
              <c:f>Sheet2!$F$74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Sheet2!$C$75:$C$78</c:f>
              <c:strCache>
                <c:ptCount val="4"/>
                <c:pt idx="0">
                  <c:v>Quality of inputs by the faculty was appropriate.</c:v>
                </c:pt>
                <c:pt idx="1">
                  <c:v>The communication of the faculty was clear.</c:v>
                </c:pt>
                <c:pt idx="2">
                  <c:v>Questions/queries  were responded by the faculty</c:v>
                </c:pt>
                <c:pt idx="3">
                  <c:v>The participants were well involved by the faculty </c:v>
                </c:pt>
              </c:strCache>
            </c:strRef>
          </c:cat>
          <c:val>
            <c:numRef>
              <c:f>Sheet2!$F$75:$F$78</c:f>
              <c:numCache>
                <c:formatCode>0%</c:formatCode>
                <c:ptCount val="4"/>
                <c:pt idx="0">
                  <c:v>0.28125</c:v>
                </c:pt>
                <c:pt idx="1">
                  <c:v>0.26250000000000001</c:v>
                </c:pt>
                <c:pt idx="2">
                  <c:v>0.3</c:v>
                </c:pt>
                <c:pt idx="3">
                  <c:v>0.28125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31-4893-8734-86106F559CB3}"/>
            </c:ext>
          </c:extLst>
        </c:ser>
        <c:ser>
          <c:idx val="3"/>
          <c:order val="3"/>
          <c:tx>
            <c:strRef>
              <c:f>Sheet2!$G$74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Sheet2!$C$75:$C$78</c:f>
              <c:strCache>
                <c:ptCount val="4"/>
                <c:pt idx="0">
                  <c:v>Quality of inputs by the faculty was appropriate.</c:v>
                </c:pt>
                <c:pt idx="1">
                  <c:v>The communication of the faculty was clear.</c:v>
                </c:pt>
                <c:pt idx="2">
                  <c:v>Questions/queries  were responded by the faculty</c:v>
                </c:pt>
                <c:pt idx="3">
                  <c:v>The participants were well involved by the faculty </c:v>
                </c:pt>
              </c:strCache>
            </c:strRef>
          </c:cat>
          <c:val>
            <c:numRef>
              <c:f>Sheet2!$G$75:$G$78</c:f>
              <c:numCache>
                <c:formatCode>0%</c:formatCode>
                <c:ptCount val="4"/>
                <c:pt idx="0">
                  <c:v>0.625</c:v>
                </c:pt>
                <c:pt idx="1">
                  <c:v>0.65</c:v>
                </c:pt>
                <c:pt idx="2">
                  <c:v>0.6</c:v>
                </c:pt>
                <c:pt idx="3">
                  <c:v>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31-4893-8734-86106F559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3833504"/>
        <c:axId val="333835168"/>
        <c:axId val="496848608"/>
      </c:bar3DChart>
      <c:catAx>
        <c:axId val="33383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835168"/>
        <c:crosses val="autoZero"/>
        <c:auto val="1"/>
        <c:lblAlgn val="ctr"/>
        <c:lblOffset val="100"/>
        <c:noMultiLvlLbl val="0"/>
      </c:catAx>
      <c:valAx>
        <c:axId val="33383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833504"/>
        <c:crosses val="autoZero"/>
        <c:crossBetween val="between"/>
      </c:valAx>
      <c:serAx>
        <c:axId val="496848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83516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0567147856517937E-2"/>
          <c:y val="0.20168671624380285"/>
          <c:w val="0.7068554243219598"/>
          <c:h val="0.36052311169437151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Sheet2!$D$87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Sheet2!$C$88:$C$91</c:f>
              <c:strCache>
                <c:ptCount val="4"/>
                <c:pt idx="0">
                  <c:v>Quality of inputs by the faculty was appropriate.</c:v>
                </c:pt>
                <c:pt idx="1">
                  <c:v>The communication of the faculty was clear.</c:v>
                </c:pt>
                <c:pt idx="2">
                  <c:v>Questions/queries  were responded by the faculty</c:v>
                </c:pt>
                <c:pt idx="3">
                  <c:v>The participants were well involved by the faculty </c:v>
                </c:pt>
              </c:strCache>
            </c:strRef>
          </c:cat>
          <c:val>
            <c:numRef>
              <c:f>Sheet2!$D$88:$D$91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5-47D1-BE2B-68395D829AEC}"/>
            </c:ext>
          </c:extLst>
        </c:ser>
        <c:ser>
          <c:idx val="1"/>
          <c:order val="1"/>
          <c:tx>
            <c:strRef>
              <c:f>Sheet2!$E$87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Sheet2!$C$88:$C$91</c:f>
              <c:strCache>
                <c:ptCount val="4"/>
                <c:pt idx="0">
                  <c:v>Quality of inputs by the faculty was appropriate.</c:v>
                </c:pt>
                <c:pt idx="1">
                  <c:v>The communication of the faculty was clear.</c:v>
                </c:pt>
                <c:pt idx="2">
                  <c:v>Questions/queries  were responded by the faculty</c:v>
                </c:pt>
                <c:pt idx="3">
                  <c:v>The participants were well involved by the faculty </c:v>
                </c:pt>
              </c:strCache>
            </c:strRef>
          </c:cat>
          <c:val>
            <c:numRef>
              <c:f>Sheet2!$E$88:$E$91</c:f>
              <c:numCache>
                <c:formatCode>0%</c:formatCode>
                <c:ptCount val="4"/>
                <c:pt idx="0">
                  <c:v>0</c:v>
                </c:pt>
                <c:pt idx="1">
                  <c:v>1.2500000000000001E-2</c:v>
                </c:pt>
                <c:pt idx="2">
                  <c:v>1.2500000000000001E-2</c:v>
                </c:pt>
                <c:pt idx="3">
                  <c:v>1.2500000000000001E-2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95-47D1-BE2B-68395D829AEC}"/>
            </c:ext>
          </c:extLst>
        </c:ser>
        <c:ser>
          <c:idx val="2"/>
          <c:order val="2"/>
          <c:tx>
            <c:strRef>
              <c:f>Sheet2!$F$87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Sheet2!$C$88:$C$91</c:f>
              <c:strCache>
                <c:ptCount val="4"/>
                <c:pt idx="0">
                  <c:v>Quality of inputs by the faculty was appropriate.</c:v>
                </c:pt>
                <c:pt idx="1">
                  <c:v>The communication of the faculty was clear.</c:v>
                </c:pt>
                <c:pt idx="2">
                  <c:v>Questions/queries  were responded by the faculty</c:v>
                </c:pt>
                <c:pt idx="3">
                  <c:v>The participants were well involved by the faculty </c:v>
                </c:pt>
              </c:strCache>
            </c:strRef>
          </c:cat>
          <c:val>
            <c:numRef>
              <c:f>Sheet2!$F$88:$F$91</c:f>
              <c:numCache>
                <c:formatCode>0%</c:formatCode>
                <c:ptCount val="4"/>
                <c:pt idx="0">
                  <c:v>0.33750000000000002</c:v>
                </c:pt>
                <c:pt idx="1">
                  <c:v>0.3</c:v>
                </c:pt>
                <c:pt idx="2">
                  <c:v>0.31874999999999998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95-47D1-BE2B-68395D829AEC}"/>
            </c:ext>
          </c:extLst>
        </c:ser>
        <c:ser>
          <c:idx val="3"/>
          <c:order val="3"/>
          <c:tx>
            <c:strRef>
              <c:f>Sheet2!$G$87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Sheet2!$C$88:$C$91</c:f>
              <c:strCache>
                <c:ptCount val="4"/>
                <c:pt idx="0">
                  <c:v>Quality of inputs by the faculty was appropriate.</c:v>
                </c:pt>
                <c:pt idx="1">
                  <c:v>The communication of the faculty was clear.</c:v>
                </c:pt>
                <c:pt idx="2">
                  <c:v>Questions/queries  were responded by the faculty</c:v>
                </c:pt>
                <c:pt idx="3">
                  <c:v>The participants were well involved by the faculty </c:v>
                </c:pt>
              </c:strCache>
            </c:strRef>
          </c:cat>
          <c:val>
            <c:numRef>
              <c:f>Sheet2!$G$88:$G$91</c:f>
              <c:numCache>
                <c:formatCode>0%</c:formatCode>
                <c:ptCount val="4"/>
                <c:pt idx="0">
                  <c:v>0.55000000000000004</c:v>
                </c:pt>
                <c:pt idx="1">
                  <c:v>0.57499999999999996</c:v>
                </c:pt>
                <c:pt idx="2">
                  <c:v>0.55000000000000004</c:v>
                </c:pt>
                <c:pt idx="3">
                  <c:v>0.57499999999999996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95-47D1-BE2B-68395D829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43126912"/>
        <c:axId val="343128992"/>
        <c:axId val="656577888"/>
      </c:bar3DChart>
      <c:catAx>
        <c:axId val="34312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128992"/>
        <c:crosses val="autoZero"/>
        <c:auto val="1"/>
        <c:lblAlgn val="ctr"/>
        <c:lblOffset val="100"/>
        <c:noMultiLvlLbl val="0"/>
      </c:catAx>
      <c:valAx>
        <c:axId val="34312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126912"/>
        <c:crosses val="autoZero"/>
        <c:crossBetween val="between"/>
      </c:valAx>
      <c:serAx>
        <c:axId val="656577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12899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76</xdr:row>
      <xdr:rowOff>0</xdr:rowOff>
    </xdr:from>
    <xdr:to>
      <xdr:col>3</xdr:col>
      <xdr:colOff>771525</xdr:colOff>
      <xdr:row>90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34</xdr:row>
      <xdr:rowOff>28574</xdr:rowOff>
    </xdr:from>
    <xdr:to>
      <xdr:col>4</xdr:col>
      <xdr:colOff>428625</xdr:colOff>
      <xdr:row>55</xdr:row>
      <xdr:rowOff>57149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447674</xdr:colOff>
      <xdr:row>46</xdr:row>
      <xdr:rowOff>114299</xdr:rowOff>
    </xdr:from>
    <xdr:to>
      <xdr:col>12</xdr:col>
      <xdr:colOff>466724</xdr:colOff>
      <xdr:row>71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97</xdr:row>
      <xdr:rowOff>0</xdr:rowOff>
    </xdr:from>
    <xdr:to>
      <xdr:col>2</xdr:col>
      <xdr:colOff>3581400</xdr:colOff>
      <xdr:row>111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3695700</xdr:colOff>
      <xdr:row>97</xdr:row>
      <xdr:rowOff>19050</xdr:rowOff>
    </xdr:from>
    <xdr:to>
      <xdr:col>8</xdr:col>
      <xdr:colOff>66675</xdr:colOff>
      <xdr:row>111</xdr:row>
      <xdr:rowOff>95250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75"/>
  <sheetViews>
    <sheetView tabSelected="1" workbookViewId="0">
      <selection activeCell="A2" sqref="A2:AJ70"/>
    </sheetView>
  </sheetViews>
  <sheetFormatPr defaultRowHeight="14.4" x14ac:dyDescent="0.3"/>
  <cols>
    <col min="2" max="2" width="9.109375" style="1"/>
    <col min="3" max="3" width="58" customWidth="1"/>
    <col min="4" max="4" width="15.5546875" bestFit="1" customWidth="1"/>
    <col min="16" max="21" width="9.109375" customWidth="1"/>
    <col min="257" max="257" width="58" customWidth="1"/>
    <col min="513" max="513" width="58" customWidth="1"/>
    <col min="769" max="769" width="58" customWidth="1"/>
    <col min="1025" max="1025" width="58" customWidth="1"/>
    <col min="1281" max="1281" width="58" customWidth="1"/>
    <col min="1537" max="1537" width="58" customWidth="1"/>
    <col min="1793" max="1793" width="58" customWidth="1"/>
    <col min="2049" max="2049" width="58" customWidth="1"/>
    <col min="2305" max="2305" width="58" customWidth="1"/>
    <col min="2561" max="2561" width="58" customWidth="1"/>
    <col min="2817" max="2817" width="58" customWidth="1"/>
    <col min="3073" max="3073" width="58" customWidth="1"/>
    <col min="3329" max="3329" width="58" customWidth="1"/>
    <col min="3585" max="3585" width="58" customWidth="1"/>
    <col min="3841" max="3841" width="58" customWidth="1"/>
    <col min="4097" max="4097" width="58" customWidth="1"/>
    <col min="4353" max="4353" width="58" customWidth="1"/>
    <col min="4609" max="4609" width="58" customWidth="1"/>
    <col min="4865" max="4865" width="58" customWidth="1"/>
    <col min="5121" max="5121" width="58" customWidth="1"/>
    <col min="5377" max="5377" width="58" customWidth="1"/>
    <col min="5633" max="5633" width="58" customWidth="1"/>
    <col min="5889" max="5889" width="58" customWidth="1"/>
    <col min="6145" max="6145" width="58" customWidth="1"/>
    <col min="6401" max="6401" width="58" customWidth="1"/>
    <col min="6657" max="6657" width="58" customWidth="1"/>
    <col min="6913" max="6913" width="58" customWidth="1"/>
    <col min="7169" max="7169" width="58" customWidth="1"/>
    <col min="7425" max="7425" width="58" customWidth="1"/>
    <col min="7681" max="7681" width="58" customWidth="1"/>
    <col min="7937" max="7937" width="58" customWidth="1"/>
    <col min="8193" max="8193" width="58" customWidth="1"/>
    <col min="8449" max="8449" width="58" customWidth="1"/>
    <col min="8705" max="8705" width="58" customWidth="1"/>
    <col min="8961" max="8961" width="58" customWidth="1"/>
    <col min="9217" max="9217" width="58" customWidth="1"/>
    <col min="9473" max="9473" width="58" customWidth="1"/>
    <col min="9729" max="9729" width="58" customWidth="1"/>
    <col min="9985" max="9985" width="58" customWidth="1"/>
    <col min="10241" max="10241" width="58" customWidth="1"/>
    <col min="10497" max="10497" width="58" customWidth="1"/>
    <col min="10753" max="10753" width="58" customWidth="1"/>
    <col min="11009" max="11009" width="58" customWidth="1"/>
    <col min="11265" max="11265" width="58" customWidth="1"/>
    <col min="11521" max="11521" width="58" customWidth="1"/>
    <col min="11777" max="11777" width="58" customWidth="1"/>
    <col min="12033" max="12033" width="58" customWidth="1"/>
    <col min="12289" max="12289" width="58" customWidth="1"/>
    <col min="12545" max="12545" width="58" customWidth="1"/>
    <col min="12801" max="12801" width="58" customWidth="1"/>
    <col min="13057" max="13057" width="58" customWidth="1"/>
    <col min="13313" max="13313" width="58" customWidth="1"/>
    <col min="13569" max="13569" width="58" customWidth="1"/>
    <col min="13825" max="13825" width="58" customWidth="1"/>
    <col min="14081" max="14081" width="58" customWidth="1"/>
    <col min="14337" max="14337" width="58" customWidth="1"/>
    <col min="14593" max="14593" width="58" customWidth="1"/>
    <col min="14849" max="14849" width="58" customWidth="1"/>
    <col min="15105" max="15105" width="58" customWidth="1"/>
    <col min="15361" max="15361" width="58" customWidth="1"/>
    <col min="15617" max="15617" width="58" customWidth="1"/>
    <col min="15873" max="15873" width="58" customWidth="1"/>
    <col min="16129" max="16129" width="58" customWidth="1"/>
  </cols>
  <sheetData>
    <row r="2" spans="1:20" x14ac:dyDescent="0.3">
      <c r="A2" s="17" t="s">
        <v>0</v>
      </c>
      <c r="B2" s="42"/>
      <c r="C2" s="2" t="s">
        <v>26</v>
      </c>
    </row>
    <row r="3" spans="1:20" x14ac:dyDescent="0.3">
      <c r="A3" s="43" t="s">
        <v>1</v>
      </c>
      <c r="B3" s="42"/>
      <c r="C3" s="3" t="s">
        <v>27</v>
      </c>
    </row>
    <row r="4" spans="1:20" x14ac:dyDescent="0.3">
      <c r="A4" s="43" t="s">
        <v>2</v>
      </c>
      <c r="B4" s="44"/>
      <c r="C4" s="3" t="s">
        <v>28</v>
      </c>
    </row>
    <row r="6" spans="1:20" x14ac:dyDescent="0.3">
      <c r="E6" s="4"/>
      <c r="G6" s="5"/>
    </row>
    <row r="7" spans="1:20" x14ac:dyDescent="0.3">
      <c r="B7" s="6"/>
      <c r="C7" s="7"/>
      <c r="D7" s="8">
        <v>1</v>
      </c>
      <c r="E7" s="8">
        <v>2</v>
      </c>
      <c r="F7" s="8">
        <v>3</v>
      </c>
      <c r="G7" s="8">
        <v>4</v>
      </c>
      <c r="H7" s="9"/>
      <c r="I7" s="7"/>
      <c r="P7">
        <v>1</v>
      </c>
      <c r="Q7">
        <v>2</v>
      </c>
      <c r="R7">
        <v>3</v>
      </c>
      <c r="S7">
        <v>4</v>
      </c>
    </row>
    <row r="8" spans="1:20" ht="43.2" x14ac:dyDescent="0.3">
      <c r="B8" s="8" t="s">
        <v>3</v>
      </c>
      <c r="C8" s="9" t="s">
        <v>4</v>
      </c>
      <c r="D8" s="10" t="s">
        <v>5</v>
      </c>
      <c r="E8" s="10" t="s">
        <v>6</v>
      </c>
      <c r="F8" s="10" t="s">
        <v>7</v>
      </c>
      <c r="G8" s="10" t="s">
        <v>8</v>
      </c>
      <c r="H8" s="10" t="s">
        <v>9</v>
      </c>
      <c r="I8" s="11" t="s">
        <v>53</v>
      </c>
      <c r="P8" s="12" t="s">
        <v>5</v>
      </c>
      <c r="Q8" s="12" t="s">
        <v>6</v>
      </c>
      <c r="R8" s="12" t="s">
        <v>7</v>
      </c>
      <c r="S8" s="12" t="s">
        <v>8</v>
      </c>
      <c r="T8" s="12" t="s">
        <v>10</v>
      </c>
    </row>
    <row r="9" spans="1:20" x14ac:dyDescent="0.3">
      <c r="B9" s="13">
        <v>1</v>
      </c>
      <c r="C9" s="14" t="s">
        <v>11</v>
      </c>
      <c r="D9" s="15">
        <f>(P9*$P$7)/$T$9</f>
        <v>0</v>
      </c>
      <c r="E9" s="15">
        <f>(Q9*$Q$7)/$T$9</f>
        <v>0.1</v>
      </c>
      <c r="F9" s="15">
        <f>(R9*$R$7)/$T$9</f>
        <v>1.425</v>
      </c>
      <c r="G9" s="15">
        <f>(S9*$S$7)/$T$9</f>
        <v>1.9</v>
      </c>
      <c r="H9" s="15">
        <f>SUM(D9:G9)</f>
        <v>3.4249999999999998</v>
      </c>
      <c r="I9" s="16">
        <f t="shared" ref="I9:I14" si="0">H9/4*100</f>
        <v>85.625</v>
      </c>
      <c r="P9" s="17">
        <v>0</v>
      </c>
      <c r="Q9" s="17">
        <v>2</v>
      </c>
      <c r="R9" s="17">
        <v>19</v>
      </c>
      <c r="S9" s="17">
        <v>19</v>
      </c>
      <c r="T9" s="18">
        <f>SUM(P9:S9)</f>
        <v>40</v>
      </c>
    </row>
    <row r="10" spans="1:20" x14ac:dyDescent="0.3">
      <c r="B10" s="13">
        <f>B9+1</f>
        <v>2</v>
      </c>
      <c r="C10" s="14" t="s">
        <v>12</v>
      </c>
      <c r="D10" s="15">
        <f>(P10*$P$7)/$T$10</f>
        <v>0</v>
      </c>
      <c r="E10" s="15">
        <f>(Q10*$Q$7)/$T$10</f>
        <v>0</v>
      </c>
      <c r="F10" s="15">
        <f>(R10*$R$7)/$T$10</f>
        <v>1.425</v>
      </c>
      <c r="G10" s="15">
        <f>(S10*$S$7)/$T$10</f>
        <v>2.1</v>
      </c>
      <c r="H10" s="15">
        <f>SUM(D10:G10)</f>
        <v>3.5250000000000004</v>
      </c>
      <c r="I10" s="16">
        <f t="shared" si="0"/>
        <v>88.125000000000014</v>
      </c>
      <c r="P10" s="17">
        <v>0</v>
      </c>
      <c r="Q10" s="17">
        <v>0</v>
      </c>
      <c r="R10" s="17">
        <v>19</v>
      </c>
      <c r="S10" s="17">
        <v>21</v>
      </c>
      <c r="T10" s="18">
        <f>SUM(P10:S10)</f>
        <v>40</v>
      </c>
    </row>
    <row r="11" spans="1:20" x14ac:dyDescent="0.3">
      <c r="B11" s="13">
        <f>B10+1</f>
        <v>3</v>
      </c>
      <c r="C11" s="14" t="s">
        <v>13</v>
      </c>
      <c r="D11" s="15">
        <f>(P11*$P$7)/$T$11</f>
        <v>0</v>
      </c>
      <c r="E11" s="15">
        <f>(Q11*$Q$7)/$T$11</f>
        <v>0.05</v>
      </c>
      <c r="F11" s="15">
        <f>(R11*$R$7)/$T$11</f>
        <v>1.425</v>
      </c>
      <c r="G11" s="15">
        <f>(S11*$S$7)/$T$11</f>
        <v>2</v>
      </c>
      <c r="H11" s="15">
        <f>SUM(D11:G11)</f>
        <v>3.4750000000000001</v>
      </c>
      <c r="I11" s="16">
        <f t="shared" si="0"/>
        <v>86.875</v>
      </c>
      <c r="P11" s="17"/>
      <c r="Q11" s="17">
        <v>1</v>
      </c>
      <c r="R11" s="17">
        <v>19</v>
      </c>
      <c r="S11" s="17">
        <v>20</v>
      </c>
      <c r="T11" s="18">
        <f>SUM(P11:S11)</f>
        <v>40</v>
      </c>
    </row>
    <row r="12" spans="1:20" x14ac:dyDescent="0.3">
      <c r="B12" s="13">
        <f>B11+1</f>
        <v>4</v>
      </c>
      <c r="C12" s="14" t="s">
        <v>14</v>
      </c>
      <c r="D12" s="15">
        <f>(P12*$P$7)/$T$12</f>
        <v>0</v>
      </c>
      <c r="E12" s="15">
        <f>(Q12*$Q$7)/$T$12</f>
        <v>0.05</v>
      </c>
      <c r="F12" s="15">
        <f>(R12*$R$7)/$T$12</f>
        <v>1.425</v>
      </c>
      <c r="G12" s="15">
        <f>(S12*$S$7)/$T$12</f>
        <v>2</v>
      </c>
      <c r="H12" s="15">
        <f>SUM(D12:G12)</f>
        <v>3.4750000000000001</v>
      </c>
      <c r="I12" s="16">
        <f t="shared" si="0"/>
        <v>86.875</v>
      </c>
      <c r="P12" s="17">
        <v>0</v>
      </c>
      <c r="Q12" s="17">
        <v>1</v>
      </c>
      <c r="R12" s="17">
        <v>19</v>
      </c>
      <c r="S12" s="17">
        <v>20</v>
      </c>
      <c r="T12" s="18">
        <f>SUM(P12:S12)</f>
        <v>40</v>
      </c>
    </row>
    <row r="13" spans="1:20" x14ac:dyDescent="0.3">
      <c r="B13" s="13">
        <f>B12+1</f>
        <v>5</v>
      </c>
      <c r="C13" s="14" t="s">
        <v>15</v>
      </c>
      <c r="D13" s="15">
        <f>(P13*$P$7)/$T$13</f>
        <v>0</v>
      </c>
      <c r="E13" s="15">
        <f>(Q13*$Q$7)/$T$13</f>
        <v>0</v>
      </c>
      <c r="F13" s="15">
        <f>(R13*$R$7)/$T$13</f>
        <v>0.9</v>
      </c>
      <c r="G13" s="15">
        <f>(S13*$S$7)/$T$13</f>
        <v>2.8</v>
      </c>
      <c r="H13" s="15">
        <f>SUM(D13:G13)</f>
        <v>3.6999999999999997</v>
      </c>
      <c r="I13" s="16">
        <f t="shared" si="0"/>
        <v>92.5</v>
      </c>
      <c r="P13" s="17">
        <v>0</v>
      </c>
      <c r="Q13" s="17">
        <v>0</v>
      </c>
      <c r="R13" s="17">
        <v>12</v>
      </c>
      <c r="S13" s="17">
        <v>28</v>
      </c>
      <c r="T13" s="18">
        <f>SUM(P13:S13)</f>
        <v>40</v>
      </c>
    </row>
    <row r="14" spans="1:20" x14ac:dyDescent="0.3">
      <c r="B14" s="19"/>
      <c r="C14" s="9" t="s">
        <v>16</v>
      </c>
      <c r="D14" s="20"/>
      <c r="E14" s="20"/>
      <c r="F14" s="20"/>
      <c r="G14" s="20"/>
      <c r="H14" s="21">
        <f>AVERAGE(H9:H13)</f>
        <v>3.5200000000000005</v>
      </c>
      <c r="I14" s="22">
        <f t="shared" si="0"/>
        <v>88.000000000000014</v>
      </c>
      <c r="P14" s="23"/>
      <c r="Q14" s="23"/>
      <c r="R14" s="23"/>
      <c r="S14" s="23"/>
      <c r="T14" s="24"/>
    </row>
    <row r="15" spans="1:20" x14ac:dyDescent="0.3">
      <c r="B15" s="6"/>
      <c r="C15" s="7"/>
      <c r="D15" s="7"/>
      <c r="E15" s="7"/>
      <c r="F15" s="7"/>
      <c r="G15" s="7"/>
      <c r="H15" s="25"/>
      <c r="I15" s="7"/>
      <c r="T15" s="26"/>
    </row>
    <row r="16" spans="1:20" ht="28.8" x14ac:dyDescent="0.3">
      <c r="B16" s="8" t="s">
        <v>3</v>
      </c>
      <c r="C16" s="9" t="s">
        <v>29</v>
      </c>
      <c r="D16" s="10" t="s">
        <v>5</v>
      </c>
      <c r="E16" s="10" t="s">
        <v>6</v>
      </c>
      <c r="F16" s="10" t="s">
        <v>7</v>
      </c>
      <c r="G16" s="10" t="s">
        <v>8</v>
      </c>
      <c r="H16" s="10" t="s">
        <v>9</v>
      </c>
      <c r="I16" s="7"/>
      <c r="P16" s="12" t="s">
        <v>5</v>
      </c>
      <c r="Q16" s="12" t="s">
        <v>6</v>
      </c>
      <c r="R16" s="12" t="s">
        <v>7</v>
      </c>
      <c r="S16" s="12" t="s">
        <v>8</v>
      </c>
      <c r="T16" s="12" t="s">
        <v>9</v>
      </c>
    </row>
    <row r="17" spans="2:20" x14ac:dyDescent="0.3">
      <c r="B17" s="13">
        <v>1</v>
      </c>
      <c r="C17" s="14" t="s">
        <v>17</v>
      </c>
      <c r="D17" s="15">
        <f>(P17*$P$7)/$T$17</f>
        <v>0</v>
      </c>
      <c r="E17" s="15">
        <f>(Q17*$Q$7)/$T$17</f>
        <v>0.13333333333333333</v>
      </c>
      <c r="F17" s="15">
        <f>(R17*$R$7)/$T$17</f>
        <v>1.3</v>
      </c>
      <c r="G17" s="15">
        <f>(S17*$S$7)/$T$17</f>
        <v>2</v>
      </c>
      <c r="H17" s="15">
        <f>SUM(D17:G17)</f>
        <v>3.4333333333333336</v>
      </c>
      <c r="I17" s="16">
        <f>H17/4*100</f>
        <v>85.833333333333343</v>
      </c>
      <c r="P17" s="17">
        <v>0</v>
      </c>
      <c r="Q17" s="17">
        <v>2</v>
      </c>
      <c r="R17" s="17">
        <v>13</v>
      </c>
      <c r="S17" s="17">
        <v>15</v>
      </c>
      <c r="T17" s="18">
        <f>SUM(P17:S17)</f>
        <v>30</v>
      </c>
    </row>
    <row r="18" spans="2:20" x14ac:dyDescent="0.3">
      <c r="B18" s="13">
        <f>B17+1</f>
        <v>2</v>
      </c>
      <c r="C18" s="14" t="s">
        <v>18</v>
      </c>
      <c r="D18" s="15">
        <f>(P18*$P$7)/$T$18</f>
        <v>0</v>
      </c>
      <c r="E18" s="15">
        <f>(Q18*$Q$7)/$T$18</f>
        <v>0</v>
      </c>
      <c r="F18" s="15">
        <f>(R18*$R$7)/$T$18</f>
        <v>1.4</v>
      </c>
      <c r="G18" s="15">
        <f>(S18*$S$7)/$T$18</f>
        <v>2.1333333333333333</v>
      </c>
      <c r="H18" s="15">
        <f>SUM(D18:G18)</f>
        <v>3.5333333333333332</v>
      </c>
      <c r="I18" s="16">
        <f>H18/4*100</f>
        <v>88.333333333333329</v>
      </c>
      <c r="P18" s="17">
        <v>0</v>
      </c>
      <c r="Q18" s="17">
        <v>0</v>
      </c>
      <c r="R18" s="17">
        <v>14</v>
      </c>
      <c r="S18" s="17">
        <v>16</v>
      </c>
      <c r="T18" s="18">
        <f>SUM(P18:S18)</f>
        <v>30</v>
      </c>
    </row>
    <row r="19" spans="2:20" x14ac:dyDescent="0.3">
      <c r="B19" s="13">
        <f>B18+1</f>
        <v>3</v>
      </c>
      <c r="C19" s="14" t="s">
        <v>19</v>
      </c>
      <c r="D19" s="15">
        <f>(P19*$P$7)/$T$19</f>
        <v>0</v>
      </c>
      <c r="E19" s="15">
        <f>(Q19*$Q$7)/$T$19</f>
        <v>6.6666666666666666E-2</v>
      </c>
      <c r="F19" s="15">
        <f>(R19*$R$7)/$T$19</f>
        <v>1.4</v>
      </c>
      <c r="G19" s="15">
        <f>(S19*$S$7)/$T$19</f>
        <v>2</v>
      </c>
      <c r="H19" s="15">
        <f>SUM(D19:G19)</f>
        <v>3.4666666666666668</v>
      </c>
      <c r="I19" s="16">
        <f>H19/4*100</f>
        <v>86.666666666666671</v>
      </c>
      <c r="P19" s="17">
        <v>0</v>
      </c>
      <c r="Q19" s="17">
        <v>1</v>
      </c>
      <c r="R19" s="17">
        <v>14</v>
      </c>
      <c r="S19" s="17">
        <v>15</v>
      </c>
      <c r="T19" s="18">
        <f>SUM(P19:S19)</f>
        <v>30</v>
      </c>
    </row>
    <row r="20" spans="2:20" x14ac:dyDescent="0.3">
      <c r="B20" s="13">
        <f>B19+1</f>
        <v>4</v>
      </c>
      <c r="C20" s="14" t="s">
        <v>20</v>
      </c>
      <c r="D20" s="15">
        <f>(P20*$P$7)/$T$20</f>
        <v>0</v>
      </c>
      <c r="E20" s="15">
        <f>(Q20*$Q$7)/$T$20</f>
        <v>0</v>
      </c>
      <c r="F20" s="15">
        <f>(R20*$R$7)/$T$20</f>
        <v>0.5</v>
      </c>
      <c r="G20" s="15">
        <f>(S20*$S$7)/$T$20</f>
        <v>3.3333333333333335</v>
      </c>
      <c r="H20" s="15">
        <f>SUM(D20:G20)</f>
        <v>3.8333333333333335</v>
      </c>
      <c r="I20" s="16">
        <f>H20/4*100</f>
        <v>95.833333333333343</v>
      </c>
      <c r="L20" s="27"/>
      <c r="P20" s="17">
        <v>0</v>
      </c>
      <c r="Q20" s="17">
        <v>0</v>
      </c>
      <c r="R20" s="17">
        <v>5</v>
      </c>
      <c r="S20" s="17">
        <v>25</v>
      </c>
      <c r="T20" s="18">
        <f>SUM(P20:S20)</f>
        <v>30</v>
      </c>
    </row>
    <row r="21" spans="2:20" x14ac:dyDescent="0.3">
      <c r="B21" s="19"/>
      <c r="C21" s="9" t="s">
        <v>16</v>
      </c>
      <c r="D21" s="20"/>
      <c r="E21" s="20"/>
      <c r="F21" s="20"/>
      <c r="G21" s="20"/>
      <c r="H21" s="21">
        <f>AVERAGE(H17:H20)</f>
        <v>3.5666666666666669</v>
      </c>
      <c r="I21" s="22">
        <f>H21/4*100</f>
        <v>89.166666666666671</v>
      </c>
      <c r="P21" s="23"/>
      <c r="Q21" s="23"/>
      <c r="R21" s="23"/>
      <c r="S21" s="23"/>
      <c r="T21" s="24"/>
    </row>
    <row r="22" spans="2:20" x14ac:dyDescent="0.3">
      <c r="B22" s="28"/>
      <c r="C22" s="29"/>
      <c r="D22" s="29"/>
      <c r="E22" s="29"/>
      <c r="F22" s="29"/>
      <c r="G22" s="29"/>
      <c r="H22" s="16"/>
      <c r="I22" s="7"/>
    </row>
    <row r="23" spans="2:20" ht="28.8" x14ac:dyDescent="0.3">
      <c r="B23" s="8" t="s">
        <v>3</v>
      </c>
      <c r="C23" s="9" t="s">
        <v>30</v>
      </c>
      <c r="D23" s="10" t="s">
        <v>5</v>
      </c>
      <c r="E23" s="10" t="s">
        <v>6</v>
      </c>
      <c r="F23" s="10" t="s">
        <v>7</v>
      </c>
      <c r="G23" s="10" t="s">
        <v>8</v>
      </c>
      <c r="H23" s="10" t="s">
        <v>9</v>
      </c>
      <c r="I23" s="7"/>
      <c r="P23" s="12" t="s">
        <v>5</v>
      </c>
      <c r="Q23" s="12" t="s">
        <v>6</v>
      </c>
      <c r="R23" s="12" t="s">
        <v>7</v>
      </c>
      <c r="S23" s="12" t="s">
        <v>8</v>
      </c>
      <c r="T23" s="12" t="s">
        <v>9</v>
      </c>
    </row>
    <row r="24" spans="2:20" x14ac:dyDescent="0.3">
      <c r="B24" s="13">
        <v>1</v>
      </c>
      <c r="C24" s="14" t="s">
        <v>17</v>
      </c>
      <c r="D24" s="15">
        <f>(P24*$P$7)/$T24</f>
        <v>0</v>
      </c>
      <c r="E24" s="15">
        <f>(Q24*$Q$7)/$T24</f>
        <v>0</v>
      </c>
      <c r="F24" s="15">
        <f>(R24*$R$7)/$T24</f>
        <v>1.125</v>
      </c>
      <c r="G24" s="15">
        <f>(S24*$S$7)/$T24</f>
        <v>2.5</v>
      </c>
      <c r="H24" s="15">
        <f>SUM(D24:G24)</f>
        <v>3.625</v>
      </c>
      <c r="I24" s="16">
        <f>H24/4*100</f>
        <v>90.625</v>
      </c>
      <c r="P24" s="17">
        <v>0</v>
      </c>
      <c r="Q24" s="17">
        <v>0</v>
      </c>
      <c r="R24" s="17">
        <v>15</v>
      </c>
      <c r="S24" s="17">
        <v>25</v>
      </c>
      <c r="T24" s="18">
        <f>SUM(P24:S24)</f>
        <v>40</v>
      </c>
    </row>
    <row r="25" spans="2:20" x14ac:dyDescent="0.3">
      <c r="B25" s="13">
        <f>B24+1</f>
        <v>2</v>
      </c>
      <c r="C25" s="14" t="s">
        <v>18</v>
      </c>
      <c r="D25" s="15">
        <f>(P25*$P$7)/$T25</f>
        <v>0</v>
      </c>
      <c r="E25" s="15">
        <f t="shared" ref="E25:E27" si="1">(Q25*$Q$7)/$T25</f>
        <v>0</v>
      </c>
      <c r="F25" s="15">
        <f t="shared" ref="F25:F27" si="2">(R25*$R$7)/$T25</f>
        <v>1.05</v>
      </c>
      <c r="G25" s="15">
        <f t="shared" ref="G25:G27" si="3">(S25*$S$7)/$T25</f>
        <v>2.6</v>
      </c>
      <c r="H25" s="15">
        <f>SUM(D25:G25)</f>
        <v>3.6500000000000004</v>
      </c>
      <c r="I25" s="16">
        <f>H25/4*100</f>
        <v>91.250000000000014</v>
      </c>
      <c r="P25" s="17">
        <v>0</v>
      </c>
      <c r="Q25" s="17">
        <v>0</v>
      </c>
      <c r="R25" s="17">
        <v>14</v>
      </c>
      <c r="S25" s="17">
        <v>26</v>
      </c>
      <c r="T25" s="18">
        <f>SUM(P25:S25)</f>
        <v>40</v>
      </c>
    </row>
    <row r="26" spans="2:20" x14ac:dyDescent="0.3">
      <c r="B26" s="13">
        <f>B25+1</f>
        <v>3</v>
      </c>
      <c r="C26" s="14" t="s">
        <v>19</v>
      </c>
      <c r="D26" s="15">
        <f>(P26*$P$7)/$T26</f>
        <v>0</v>
      </c>
      <c r="E26" s="15">
        <f t="shared" si="1"/>
        <v>0</v>
      </c>
      <c r="F26" s="15">
        <f t="shared" si="2"/>
        <v>1.2</v>
      </c>
      <c r="G26" s="15">
        <f t="shared" si="3"/>
        <v>2.4</v>
      </c>
      <c r="H26" s="15">
        <f>SUM(D26:G26)</f>
        <v>3.5999999999999996</v>
      </c>
      <c r="I26" s="16">
        <f>H26/4*100</f>
        <v>89.999999999999986</v>
      </c>
      <c r="P26" s="17">
        <v>0</v>
      </c>
      <c r="Q26" s="17">
        <v>0</v>
      </c>
      <c r="R26" s="17">
        <v>16</v>
      </c>
      <c r="S26" s="17">
        <v>24</v>
      </c>
      <c r="T26" s="18">
        <f>SUM(P26:S26)</f>
        <v>40</v>
      </c>
    </row>
    <row r="27" spans="2:20" x14ac:dyDescent="0.3">
      <c r="B27" s="13">
        <f>B26+1</f>
        <v>4</v>
      </c>
      <c r="C27" s="14" t="s">
        <v>20</v>
      </c>
      <c r="D27" s="15">
        <f>(P27*$P$7)/$T27</f>
        <v>0</v>
      </c>
      <c r="E27" s="15">
        <f t="shared" si="1"/>
        <v>0</v>
      </c>
      <c r="F27" s="15">
        <f t="shared" si="2"/>
        <v>1.125</v>
      </c>
      <c r="G27" s="15">
        <f t="shared" si="3"/>
        <v>2.5</v>
      </c>
      <c r="H27" s="15">
        <f>SUM(D27:G27)</f>
        <v>3.625</v>
      </c>
      <c r="I27" s="16">
        <f>H27/4*100</f>
        <v>90.625</v>
      </c>
      <c r="L27" s="27"/>
      <c r="P27" s="17">
        <v>0</v>
      </c>
      <c r="Q27" s="17">
        <v>0</v>
      </c>
      <c r="R27" s="17">
        <v>15</v>
      </c>
      <c r="S27" s="17">
        <v>25</v>
      </c>
      <c r="T27" s="18">
        <f>SUM(P27:S27)</f>
        <v>40</v>
      </c>
    </row>
    <row r="28" spans="2:20" x14ac:dyDescent="0.3">
      <c r="B28" s="30"/>
      <c r="C28" s="31" t="s">
        <v>16</v>
      </c>
      <c r="D28" s="32"/>
      <c r="E28" s="32"/>
      <c r="F28" s="32"/>
      <c r="G28" s="32"/>
      <c r="H28" s="33">
        <f>AVERAGE(H24:H27)</f>
        <v>3.625</v>
      </c>
      <c r="I28" s="22">
        <f>H28/4*100</f>
        <v>90.625</v>
      </c>
      <c r="P28" s="23"/>
      <c r="Q28" s="23"/>
      <c r="R28" s="23"/>
      <c r="S28" s="23"/>
      <c r="T28" s="24"/>
    </row>
    <row r="29" spans="2:20" x14ac:dyDescent="0.3">
      <c r="B29" s="6"/>
      <c r="C29" s="7"/>
      <c r="D29" s="7"/>
      <c r="E29" s="7"/>
      <c r="F29" s="7"/>
      <c r="G29" s="7"/>
      <c r="H29" s="34"/>
      <c r="I29" s="34"/>
      <c r="T29" s="41"/>
    </row>
    <row r="30" spans="2:20" ht="28.8" x14ac:dyDescent="0.3">
      <c r="B30" s="8" t="s">
        <v>3</v>
      </c>
      <c r="C30" s="9" t="s">
        <v>31</v>
      </c>
      <c r="D30" s="10" t="s">
        <v>5</v>
      </c>
      <c r="E30" s="10" t="s">
        <v>6</v>
      </c>
      <c r="F30" s="10" t="s">
        <v>7</v>
      </c>
      <c r="G30" s="10" t="s">
        <v>8</v>
      </c>
      <c r="H30" s="10" t="s">
        <v>9</v>
      </c>
      <c r="I30" s="7"/>
      <c r="P30" s="12" t="s">
        <v>5</v>
      </c>
      <c r="Q30" s="12" t="s">
        <v>6</v>
      </c>
      <c r="R30" s="12" t="s">
        <v>7</v>
      </c>
      <c r="S30" s="12" t="s">
        <v>8</v>
      </c>
      <c r="T30" s="12" t="s">
        <v>9</v>
      </c>
    </row>
    <row r="31" spans="2:20" x14ac:dyDescent="0.3">
      <c r="B31" s="13">
        <v>1</v>
      </c>
      <c r="C31" s="14" t="s">
        <v>17</v>
      </c>
      <c r="D31" s="15">
        <f>(P31*$P$7)/$T31</f>
        <v>0</v>
      </c>
      <c r="E31" s="15">
        <f>(Q31*$Q$7)/$T31</f>
        <v>0</v>
      </c>
      <c r="F31" s="15">
        <f>(R31*$R$7)/$T31</f>
        <v>1.35</v>
      </c>
      <c r="G31" s="15">
        <f>(S31*$S$7)/$T31</f>
        <v>2.2000000000000002</v>
      </c>
      <c r="H31" s="15">
        <f>SUM(D31:G31)</f>
        <v>3.5500000000000003</v>
      </c>
      <c r="I31" s="16">
        <f t="shared" ref="I31:I35" si="4">H31/4*100</f>
        <v>88.75</v>
      </c>
      <c r="P31" s="17">
        <v>0</v>
      </c>
      <c r="Q31" s="17">
        <v>0</v>
      </c>
      <c r="R31" s="17">
        <v>18</v>
      </c>
      <c r="S31" s="17">
        <v>22</v>
      </c>
      <c r="T31" s="18">
        <f>SUM(P31:S31)</f>
        <v>40</v>
      </c>
    </row>
    <row r="32" spans="2:20" x14ac:dyDescent="0.3">
      <c r="B32" s="13">
        <f>B31+1</f>
        <v>2</v>
      </c>
      <c r="C32" s="14" t="s">
        <v>18</v>
      </c>
      <c r="D32" s="15">
        <f>(P32*$P$7)/$T32</f>
        <v>0</v>
      </c>
      <c r="E32" s="15">
        <f>(Q32*$Q$7)/$T32</f>
        <v>0.05</v>
      </c>
      <c r="F32" s="15">
        <f>(R32*$R$7)/$T32</f>
        <v>1.2</v>
      </c>
      <c r="G32" s="15">
        <f>(S32*$S$7)/$T32</f>
        <v>2.2999999999999998</v>
      </c>
      <c r="H32" s="15">
        <f>SUM(D32:G32)</f>
        <v>3.55</v>
      </c>
      <c r="I32" s="16">
        <f t="shared" si="4"/>
        <v>88.75</v>
      </c>
      <c r="P32" s="17">
        <v>0</v>
      </c>
      <c r="Q32" s="17">
        <v>1</v>
      </c>
      <c r="R32" s="17">
        <v>16</v>
      </c>
      <c r="S32" s="17">
        <v>23</v>
      </c>
      <c r="T32" s="18">
        <f>SUM(P32:S32)</f>
        <v>40</v>
      </c>
    </row>
    <row r="33" spans="2:20" x14ac:dyDescent="0.3">
      <c r="B33" s="13">
        <f>B32+1</f>
        <v>3</v>
      </c>
      <c r="C33" s="14" t="s">
        <v>19</v>
      </c>
      <c r="D33" s="15">
        <f>(P33*$P$7)/$T33</f>
        <v>0</v>
      </c>
      <c r="E33" s="15">
        <f>(Q33*$Q$7)/$T33</f>
        <v>0.05</v>
      </c>
      <c r="F33" s="15">
        <f>(R33*$R$7)/$T33</f>
        <v>1.2749999999999999</v>
      </c>
      <c r="G33" s="15">
        <f>(S33*$S$7)/$T33</f>
        <v>2.2000000000000002</v>
      </c>
      <c r="H33" s="15">
        <f>SUM(D33:G33)</f>
        <v>3.5250000000000004</v>
      </c>
      <c r="I33" s="16">
        <f t="shared" si="4"/>
        <v>88.125000000000014</v>
      </c>
      <c r="P33" s="17">
        <v>0</v>
      </c>
      <c r="Q33" s="17">
        <v>1</v>
      </c>
      <c r="R33" s="17">
        <v>17</v>
      </c>
      <c r="S33" s="17">
        <v>22</v>
      </c>
      <c r="T33" s="18">
        <f>SUM(P33:S33)</f>
        <v>40</v>
      </c>
    </row>
    <row r="34" spans="2:20" x14ac:dyDescent="0.3">
      <c r="B34" s="13">
        <f>B33+1</f>
        <v>4</v>
      </c>
      <c r="C34" s="14" t="s">
        <v>20</v>
      </c>
      <c r="D34" s="15">
        <f>(P34*$P$7)/$T34</f>
        <v>0</v>
      </c>
      <c r="E34" s="15">
        <f>(Q34*$Q$7)/$T34</f>
        <v>0.05</v>
      </c>
      <c r="F34" s="15">
        <f>(R34*$R$7)/$T34</f>
        <v>1.2</v>
      </c>
      <c r="G34" s="15">
        <f>(S34*$S$7)/$T34</f>
        <v>2.2999999999999998</v>
      </c>
      <c r="H34" s="15">
        <f>SUM(D34:G34)</f>
        <v>3.55</v>
      </c>
      <c r="I34" s="16">
        <f t="shared" si="4"/>
        <v>88.75</v>
      </c>
      <c r="L34" s="27"/>
      <c r="P34" s="17">
        <v>0</v>
      </c>
      <c r="Q34" s="17">
        <v>1</v>
      </c>
      <c r="R34" s="17">
        <v>16</v>
      </c>
      <c r="S34" s="17">
        <v>23</v>
      </c>
      <c r="T34" s="18">
        <f>SUM(P34:S34)</f>
        <v>40</v>
      </c>
    </row>
    <row r="35" spans="2:20" x14ac:dyDescent="0.3">
      <c r="B35" s="30"/>
      <c r="C35" s="31" t="s">
        <v>16</v>
      </c>
      <c r="D35" s="32"/>
      <c r="E35" s="32"/>
      <c r="F35" s="32"/>
      <c r="G35" s="32"/>
      <c r="H35" s="33">
        <f>AVERAGE(H31:H34)</f>
        <v>3.5437500000000002</v>
      </c>
      <c r="I35" s="22">
        <f t="shared" si="4"/>
        <v>88.59375</v>
      </c>
      <c r="P35" s="23"/>
      <c r="Q35" s="23"/>
      <c r="R35" s="23"/>
      <c r="S35" s="23"/>
      <c r="T35" s="24"/>
    </row>
    <row r="36" spans="2:20" x14ac:dyDescent="0.3">
      <c r="B36" s="6"/>
      <c r="C36" s="7"/>
      <c r="D36" s="7"/>
      <c r="E36" s="7"/>
      <c r="F36" s="7"/>
      <c r="G36" s="7"/>
      <c r="H36" s="40"/>
      <c r="I36" s="34"/>
      <c r="T36" s="41"/>
    </row>
    <row r="37" spans="2:20" x14ac:dyDescent="0.3">
      <c r="B37" s="35"/>
      <c r="C37" s="36" t="s">
        <v>21</v>
      </c>
      <c r="D37" s="36"/>
      <c r="E37" s="36"/>
      <c r="F37" s="36"/>
      <c r="G37" s="36"/>
      <c r="H37" s="37">
        <f>(H14+H21+H28+H35)/4</f>
        <v>3.5638541666666672</v>
      </c>
      <c r="I37" s="22">
        <f>H37/4*100</f>
        <v>89.096354166666686</v>
      </c>
    </row>
    <row r="38" spans="2:20" x14ac:dyDescent="0.3">
      <c r="H38" s="38"/>
    </row>
    <row r="39" spans="2:20" x14ac:dyDescent="0.3">
      <c r="B39" s="1" t="s">
        <v>22</v>
      </c>
      <c r="C39" s="39" t="s">
        <v>23</v>
      </c>
    </row>
    <row r="40" spans="2:20" x14ac:dyDescent="0.3">
      <c r="B40" s="1">
        <v>1</v>
      </c>
      <c r="C40" t="s">
        <v>32</v>
      </c>
    </row>
    <row r="41" spans="2:20" x14ac:dyDescent="0.3">
      <c r="B41" s="1">
        <v>2</v>
      </c>
      <c r="C41" t="s">
        <v>34</v>
      </c>
    </row>
    <row r="42" spans="2:20" x14ac:dyDescent="0.3">
      <c r="B42" s="1">
        <v>3</v>
      </c>
      <c r="C42" s="56" t="s">
        <v>36</v>
      </c>
      <c r="D42" s="56"/>
      <c r="E42" s="56"/>
      <c r="F42" s="56"/>
      <c r="G42" s="56"/>
      <c r="H42" s="56"/>
    </row>
    <row r="43" spans="2:20" x14ac:dyDescent="0.3">
      <c r="B43" s="1">
        <v>4</v>
      </c>
      <c r="C43" t="s">
        <v>38</v>
      </c>
    </row>
    <row r="44" spans="2:20" x14ac:dyDescent="0.3">
      <c r="B44" s="1">
        <v>5</v>
      </c>
      <c r="C44" t="s">
        <v>40</v>
      </c>
    </row>
    <row r="45" spans="2:20" x14ac:dyDescent="0.3">
      <c r="B45" s="1">
        <v>6</v>
      </c>
      <c r="C45" t="s">
        <v>42</v>
      </c>
    </row>
    <row r="46" spans="2:20" x14ac:dyDescent="0.3">
      <c r="B46" s="1">
        <v>7</v>
      </c>
      <c r="C46" t="s">
        <v>44</v>
      </c>
    </row>
    <row r="47" spans="2:20" x14ac:dyDescent="0.3">
      <c r="B47" s="1">
        <v>8</v>
      </c>
      <c r="C47" t="s">
        <v>45</v>
      </c>
    </row>
    <row r="48" spans="2:20" x14ac:dyDescent="0.3">
      <c r="B48" s="1">
        <v>9</v>
      </c>
      <c r="C48" t="s">
        <v>46</v>
      </c>
    </row>
    <row r="49" spans="2:3" x14ac:dyDescent="0.3">
      <c r="B49" s="1">
        <v>10</v>
      </c>
      <c r="C49" t="s">
        <v>47</v>
      </c>
    </row>
    <row r="50" spans="2:3" x14ac:dyDescent="0.3">
      <c r="B50" s="1">
        <v>11</v>
      </c>
      <c r="C50" t="s">
        <v>48</v>
      </c>
    </row>
    <row r="51" spans="2:3" x14ac:dyDescent="0.3">
      <c r="B51" s="1">
        <v>12</v>
      </c>
      <c r="C51" t="s">
        <v>50</v>
      </c>
    </row>
    <row r="52" spans="2:3" x14ac:dyDescent="0.3">
      <c r="B52" s="1">
        <v>13</v>
      </c>
      <c r="C52" t="s">
        <v>51</v>
      </c>
    </row>
    <row r="53" spans="2:3" x14ac:dyDescent="0.3">
      <c r="B53" s="1">
        <v>14</v>
      </c>
      <c r="C53" t="s">
        <v>52</v>
      </c>
    </row>
    <row r="56" spans="2:3" x14ac:dyDescent="0.3">
      <c r="B56" s="1" t="s">
        <v>24</v>
      </c>
      <c r="C56" s="39" t="s">
        <v>25</v>
      </c>
    </row>
    <row r="57" spans="2:3" x14ac:dyDescent="0.3">
      <c r="B57" s="1">
        <v>1</v>
      </c>
      <c r="C57" t="s">
        <v>33</v>
      </c>
    </row>
    <row r="58" spans="2:3" x14ac:dyDescent="0.3">
      <c r="B58" s="1">
        <v>2</v>
      </c>
      <c r="C58" t="s">
        <v>35</v>
      </c>
    </row>
    <row r="59" spans="2:3" x14ac:dyDescent="0.3">
      <c r="B59" s="1">
        <v>3</v>
      </c>
      <c r="C59" t="s">
        <v>37</v>
      </c>
    </row>
    <row r="60" spans="2:3" x14ac:dyDescent="0.3">
      <c r="B60" s="1">
        <v>4</v>
      </c>
      <c r="C60" t="s">
        <v>39</v>
      </c>
    </row>
    <row r="61" spans="2:3" x14ac:dyDescent="0.3">
      <c r="B61" s="1">
        <v>5</v>
      </c>
      <c r="C61" t="s">
        <v>41</v>
      </c>
    </row>
    <row r="62" spans="2:3" x14ac:dyDescent="0.3">
      <c r="B62" s="1">
        <v>6</v>
      </c>
      <c r="C62" t="s">
        <v>43</v>
      </c>
    </row>
    <row r="63" spans="2:3" x14ac:dyDescent="0.3">
      <c r="B63" s="1">
        <v>7</v>
      </c>
      <c r="C63" t="s">
        <v>49</v>
      </c>
    </row>
    <row r="70" spans="3:5" ht="20.399999999999999" x14ac:dyDescent="0.35">
      <c r="C70" s="54" t="s">
        <v>61</v>
      </c>
      <c r="D70" s="54" t="s">
        <v>60</v>
      </c>
      <c r="E70" s="54" t="s">
        <v>62</v>
      </c>
    </row>
    <row r="71" spans="3:5" ht="15.6" x14ac:dyDescent="0.3">
      <c r="C71" s="53" t="s">
        <v>55</v>
      </c>
      <c r="D71" s="55">
        <v>3.5200000000000005</v>
      </c>
      <c r="E71" s="55">
        <v>88.000000000000014</v>
      </c>
    </row>
    <row r="72" spans="3:5" ht="15.6" x14ac:dyDescent="0.3">
      <c r="C72" s="53" t="s">
        <v>56</v>
      </c>
      <c r="D72" s="55">
        <v>3.5666666666666669</v>
      </c>
      <c r="E72" s="55">
        <v>89.166666666666671</v>
      </c>
    </row>
    <row r="73" spans="3:5" ht="15.6" x14ac:dyDescent="0.3">
      <c r="C73" s="53" t="s">
        <v>57</v>
      </c>
      <c r="D73" s="55">
        <v>3.625</v>
      </c>
      <c r="E73" s="55">
        <v>90.625</v>
      </c>
    </row>
    <row r="74" spans="3:5" ht="15.6" x14ac:dyDescent="0.3">
      <c r="C74" s="53" t="s">
        <v>58</v>
      </c>
      <c r="D74" s="55">
        <v>3.5437500000000002</v>
      </c>
      <c r="E74" s="55">
        <v>88.59375</v>
      </c>
    </row>
    <row r="75" spans="3:5" ht="15.6" x14ac:dyDescent="0.3">
      <c r="C75" s="53" t="s">
        <v>59</v>
      </c>
      <c r="D75" s="55">
        <f>AVERAGE(D71:D74)</f>
        <v>3.5638541666666672</v>
      </c>
      <c r="E75" s="55">
        <f>AVERAGE(E71:E74)</f>
        <v>89.096354166666671</v>
      </c>
    </row>
  </sheetData>
  <sheetProtection selectLockedCells="1" selectUnlockedCells="1"/>
  <protectedRanges>
    <protectedRange sqref="B57:B59 C57 C59 C41:C42 A56:A59 D56:IT59" name="Range4"/>
    <protectedRange sqref="C40 C43:C55 A40:B55 D40:IT55" name="Range3"/>
    <protectedRange sqref="P9:S13 S17:S20 S24:S27 S31:S34" name="Range1"/>
  </protectedRanges>
  <mergeCells count="1">
    <mergeCell ref="C42:H42"/>
  </mergeCells>
  <printOptions horizontalCentered="1"/>
  <pageMargins left="0.70866141732283472" right="0.70866141732283472" top="0.23622047244094491" bottom="0.19685039370078741" header="0.15748031496062992" footer="0.15748031496062992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4" workbookViewId="0">
      <selection activeCell="D23" sqref="D23:D25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I91"/>
  <sheetViews>
    <sheetView workbookViewId="0">
      <selection activeCell="K23" sqref="K23"/>
    </sheetView>
  </sheetViews>
  <sheetFormatPr defaultRowHeight="14.4" x14ac:dyDescent="0.3"/>
  <cols>
    <col min="2" max="2" width="5.6640625" bestFit="1" customWidth="1"/>
    <col min="3" max="3" width="62.109375" bestFit="1" customWidth="1"/>
    <col min="4" max="4" width="16.5546875" bestFit="1" customWidth="1"/>
    <col min="5" max="6" width="9.5546875" bestFit="1" customWidth="1"/>
    <col min="7" max="7" width="14.33203125" bestFit="1" customWidth="1"/>
    <col min="8" max="8" width="10.88671875" bestFit="1" customWidth="1"/>
    <col min="9" max="9" width="15" bestFit="1" customWidth="1"/>
  </cols>
  <sheetData>
    <row r="3" spans="2:9" x14ac:dyDescent="0.3">
      <c r="B3" s="42"/>
      <c r="C3" s="42"/>
      <c r="D3" s="42">
        <v>1</v>
      </c>
      <c r="E3" s="42">
        <v>2</v>
      </c>
      <c r="F3" s="42">
        <v>3</v>
      </c>
      <c r="G3" s="42">
        <v>4</v>
      </c>
      <c r="H3" s="42"/>
      <c r="I3" s="42"/>
    </row>
    <row r="4" spans="2:9" x14ac:dyDescent="0.3">
      <c r="B4" s="42" t="s">
        <v>3</v>
      </c>
      <c r="C4" s="42" t="s">
        <v>4</v>
      </c>
      <c r="D4" s="42" t="s">
        <v>5</v>
      </c>
      <c r="E4" s="42" t="s">
        <v>6</v>
      </c>
      <c r="F4" s="42" t="s">
        <v>7</v>
      </c>
      <c r="G4" s="42" t="s">
        <v>8</v>
      </c>
      <c r="H4" s="42" t="s">
        <v>9</v>
      </c>
      <c r="I4" s="42" t="s">
        <v>53</v>
      </c>
    </row>
    <row r="5" spans="2:9" x14ac:dyDescent="0.3">
      <c r="B5" s="42">
        <v>1</v>
      </c>
      <c r="C5" s="42" t="s">
        <v>11</v>
      </c>
      <c r="D5" s="45">
        <v>0</v>
      </c>
      <c r="E5" s="45">
        <v>0.1</v>
      </c>
      <c r="F5" s="45">
        <v>1.425</v>
      </c>
      <c r="G5" s="45">
        <v>1.9</v>
      </c>
      <c r="H5" s="45">
        <v>3.4249999999999998</v>
      </c>
      <c r="I5" s="45">
        <v>85.625</v>
      </c>
    </row>
    <row r="6" spans="2:9" x14ac:dyDescent="0.3">
      <c r="B6" s="42">
        <v>2</v>
      </c>
      <c r="C6" s="42" t="s">
        <v>12</v>
      </c>
      <c r="D6" s="45">
        <v>0</v>
      </c>
      <c r="E6" s="45">
        <v>0</v>
      </c>
      <c r="F6" s="45">
        <v>1.425</v>
      </c>
      <c r="G6" s="45">
        <v>2.1</v>
      </c>
      <c r="H6" s="45">
        <v>3.5250000000000004</v>
      </c>
      <c r="I6" s="45">
        <v>88.125000000000014</v>
      </c>
    </row>
    <row r="7" spans="2:9" x14ac:dyDescent="0.3">
      <c r="B7" s="42">
        <v>3</v>
      </c>
      <c r="C7" s="42" t="s">
        <v>13</v>
      </c>
      <c r="D7" s="45">
        <v>0</v>
      </c>
      <c r="E7" s="45">
        <v>0.05</v>
      </c>
      <c r="F7" s="45">
        <v>1.425</v>
      </c>
      <c r="G7" s="45">
        <v>2</v>
      </c>
      <c r="H7" s="45">
        <v>3.4750000000000001</v>
      </c>
      <c r="I7" s="45">
        <v>86.875</v>
      </c>
    </row>
    <row r="8" spans="2:9" x14ac:dyDescent="0.3">
      <c r="B8" s="42">
        <v>4</v>
      </c>
      <c r="C8" s="42" t="s">
        <v>14</v>
      </c>
      <c r="D8" s="45">
        <v>0</v>
      </c>
      <c r="E8" s="45">
        <v>0.05</v>
      </c>
      <c r="F8" s="45">
        <v>1.425</v>
      </c>
      <c r="G8" s="45">
        <v>2</v>
      </c>
      <c r="H8" s="45">
        <v>3.4750000000000001</v>
      </c>
      <c r="I8" s="45">
        <v>86.875</v>
      </c>
    </row>
    <row r="9" spans="2:9" x14ac:dyDescent="0.3">
      <c r="B9" s="42">
        <v>5</v>
      </c>
      <c r="C9" s="42" t="s">
        <v>15</v>
      </c>
      <c r="D9" s="45">
        <v>0</v>
      </c>
      <c r="E9" s="45">
        <v>0</v>
      </c>
      <c r="F9" s="45">
        <v>0.9</v>
      </c>
      <c r="G9" s="45">
        <v>2.8</v>
      </c>
      <c r="H9" s="45">
        <v>3.6999999999999997</v>
      </c>
      <c r="I9" s="45">
        <v>92.5</v>
      </c>
    </row>
    <row r="10" spans="2:9" x14ac:dyDescent="0.3">
      <c r="B10" s="42"/>
      <c r="C10" s="42" t="s">
        <v>16</v>
      </c>
      <c r="D10" s="45"/>
      <c r="E10" s="45"/>
      <c r="F10" s="45"/>
      <c r="G10" s="45"/>
      <c r="H10" s="46">
        <v>3.5200000000000005</v>
      </c>
      <c r="I10" s="46">
        <v>88.000000000000014</v>
      </c>
    </row>
    <row r="12" spans="2:9" x14ac:dyDescent="0.3">
      <c r="C12" s="17"/>
      <c r="D12" s="49">
        <v>1</v>
      </c>
      <c r="E12" s="49">
        <v>2</v>
      </c>
      <c r="F12" s="49">
        <v>3</v>
      </c>
      <c r="G12" s="49">
        <v>4</v>
      </c>
      <c r="H12" s="17"/>
    </row>
    <row r="13" spans="2:9" x14ac:dyDescent="0.3">
      <c r="C13" s="42" t="s">
        <v>4</v>
      </c>
      <c r="D13" s="42" t="s">
        <v>5</v>
      </c>
      <c r="E13" s="42" t="s">
        <v>6</v>
      </c>
      <c r="F13" s="42" t="s">
        <v>7</v>
      </c>
      <c r="G13" s="42" t="s">
        <v>8</v>
      </c>
      <c r="H13" s="42" t="s">
        <v>9</v>
      </c>
    </row>
    <row r="14" spans="2:9" x14ac:dyDescent="0.3">
      <c r="C14" s="42" t="s">
        <v>11</v>
      </c>
      <c r="D14" s="47">
        <f t="shared" ref="D14:G14" si="0">D5/4</f>
        <v>0</v>
      </c>
      <c r="E14" s="47">
        <f t="shared" si="0"/>
        <v>2.5000000000000001E-2</v>
      </c>
      <c r="F14" s="47">
        <f t="shared" si="0"/>
        <v>0.35625000000000001</v>
      </c>
      <c r="G14" s="47">
        <f t="shared" si="0"/>
        <v>0.47499999999999998</v>
      </c>
      <c r="H14" s="47">
        <f>H5/4</f>
        <v>0.85624999999999996</v>
      </c>
    </row>
    <row r="15" spans="2:9" x14ac:dyDescent="0.3">
      <c r="C15" s="42" t="s">
        <v>12</v>
      </c>
      <c r="D15" s="47">
        <f t="shared" ref="D15:G15" si="1">D6/4</f>
        <v>0</v>
      </c>
      <c r="E15" s="47">
        <f t="shared" si="1"/>
        <v>0</v>
      </c>
      <c r="F15" s="47">
        <f t="shared" si="1"/>
        <v>0.35625000000000001</v>
      </c>
      <c r="G15" s="47">
        <f t="shared" si="1"/>
        <v>0.52500000000000002</v>
      </c>
      <c r="H15" s="47">
        <f>H6/4</f>
        <v>0.88125000000000009</v>
      </c>
    </row>
    <row r="16" spans="2:9" x14ac:dyDescent="0.3">
      <c r="C16" s="42" t="s">
        <v>13</v>
      </c>
      <c r="D16" s="47">
        <f t="shared" ref="D16:G16" si="2">D7/4</f>
        <v>0</v>
      </c>
      <c r="E16" s="47">
        <f t="shared" si="2"/>
        <v>1.2500000000000001E-2</v>
      </c>
      <c r="F16" s="47">
        <f t="shared" si="2"/>
        <v>0.35625000000000001</v>
      </c>
      <c r="G16" s="47">
        <f t="shared" si="2"/>
        <v>0.5</v>
      </c>
      <c r="H16" s="47">
        <f>H7/4</f>
        <v>0.86875000000000002</v>
      </c>
    </row>
    <row r="17" spans="2:9" x14ac:dyDescent="0.3">
      <c r="C17" s="42" t="s">
        <v>14</v>
      </c>
      <c r="D17" s="47">
        <f t="shared" ref="D17:G17" si="3">D8/4</f>
        <v>0</v>
      </c>
      <c r="E17" s="47">
        <f t="shared" si="3"/>
        <v>1.2500000000000001E-2</v>
      </c>
      <c r="F17" s="47">
        <f t="shared" si="3"/>
        <v>0.35625000000000001</v>
      </c>
      <c r="G17" s="47">
        <f t="shared" si="3"/>
        <v>0.5</v>
      </c>
      <c r="H17" s="47">
        <f>H8/4</f>
        <v>0.86875000000000002</v>
      </c>
    </row>
    <row r="18" spans="2:9" x14ac:dyDescent="0.3">
      <c r="C18" s="42" t="s">
        <v>15</v>
      </c>
      <c r="D18" s="47">
        <f t="shared" ref="D18:G18" si="4">D9/4</f>
        <v>0</v>
      </c>
      <c r="E18" s="47">
        <f t="shared" si="4"/>
        <v>0</v>
      </c>
      <c r="F18" s="47">
        <f t="shared" si="4"/>
        <v>0.22500000000000001</v>
      </c>
      <c r="G18" s="47">
        <f t="shared" si="4"/>
        <v>0.7</v>
      </c>
      <c r="H18" s="47">
        <f>H9/4</f>
        <v>0.92499999999999993</v>
      </c>
    </row>
    <row r="19" spans="2:9" x14ac:dyDescent="0.3">
      <c r="C19" s="57" t="s">
        <v>54</v>
      </c>
      <c r="D19" s="57"/>
      <c r="E19" s="57"/>
      <c r="F19" s="57"/>
      <c r="G19" s="57"/>
      <c r="H19" s="48">
        <f>AVERAGE(H14:H18)</f>
        <v>0.88000000000000012</v>
      </c>
    </row>
    <row r="22" spans="2:9" x14ac:dyDescent="0.3">
      <c r="B22" s="17" t="s">
        <v>3</v>
      </c>
      <c r="C22" s="17" t="s">
        <v>29</v>
      </c>
      <c r="D22" s="17" t="s">
        <v>5</v>
      </c>
      <c r="E22" s="17" t="s">
        <v>6</v>
      </c>
      <c r="F22" s="17" t="s">
        <v>7</v>
      </c>
      <c r="G22" s="17" t="s">
        <v>8</v>
      </c>
      <c r="H22" s="17" t="s">
        <v>9</v>
      </c>
      <c r="I22" s="42" t="s">
        <v>53</v>
      </c>
    </row>
    <row r="23" spans="2:9" x14ac:dyDescent="0.3">
      <c r="B23" s="17">
        <v>1</v>
      </c>
      <c r="C23" s="17" t="s">
        <v>17</v>
      </c>
      <c r="D23" s="18">
        <v>0</v>
      </c>
      <c r="E23" s="18">
        <v>0.13333333333333333</v>
      </c>
      <c r="F23" s="18">
        <v>1.3</v>
      </c>
      <c r="G23" s="18">
        <v>2</v>
      </c>
      <c r="H23" s="18">
        <v>3.4333333333333336</v>
      </c>
      <c r="I23" s="18">
        <v>85.833333333333343</v>
      </c>
    </row>
    <row r="24" spans="2:9" x14ac:dyDescent="0.3">
      <c r="B24" s="17">
        <v>2</v>
      </c>
      <c r="C24" s="17" t="s">
        <v>18</v>
      </c>
      <c r="D24" s="18">
        <v>0</v>
      </c>
      <c r="E24" s="18">
        <v>0</v>
      </c>
      <c r="F24" s="18">
        <v>1.4</v>
      </c>
      <c r="G24" s="18">
        <v>2.1333333333333333</v>
      </c>
      <c r="H24" s="18">
        <v>3.5333333333333332</v>
      </c>
      <c r="I24" s="18">
        <v>88.333333333333329</v>
      </c>
    </row>
    <row r="25" spans="2:9" x14ac:dyDescent="0.3">
      <c r="B25" s="17">
        <v>3</v>
      </c>
      <c r="C25" s="17" t="s">
        <v>19</v>
      </c>
      <c r="D25" s="18">
        <v>0</v>
      </c>
      <c r="E25" s="18">
        <v>6.6666666666666666E-2</v>
      </c>
      <c r="F25" s="18">
        <v>1.4</v>
      </c>
      <c r="G25" s="18">
        <v>2</v>
      </c>
      <c r="H25" s="18">
        <v>3.4666666666666668</v>
      </c>
      <c r="I25" s="18">
        <v>86.666666666666671</v>
      </c>
    </row>
    <row r="26" spans="2:9" x14ac:dyDescent="0.3">
      <c r="B26" s="17">
        <v>4</v>
      </c>
      <c r="C26" s="17" t="s">
        <v>20</v>
      </c>
      <c r="D26" s="18">
        <v>0</v>
      </c>
      <c r="E26" s="18">
        <v>0</v>
      </c>
      <c r="F26" s="18">
        <v>0.5</v>
      </c>
      <c r="G26" s="18">
        <v>3.3333333333333335</v>
      </c>
      <c r="H26" s="18">
        <v>3.8333333333333335</v>
      </c>
      <c r="I26" s="18">
        <v>95.833333333333343</v>
      </c>
    </row>
    <row r="27" spans="2:9" x14ac:dyDescent="0.3">
      <c r="B27" s="17"/>
      <c r="C27" s="17" t="s">
        <v>16</v>
      </c>
      <c r="D27" s="18"/>
      <c r="E27" s="18"/>
      <c r="F27" s="18"/>
      <c r="G27" s="18"/>
      <c r="H27" s="50">
        <v>3.5666666666666669</v>
      </c>
      <c r="I27" s="50">
        <v>89.166666666666671</v>
      </c>
    </row>
    <row r="29" spans="2:9" x14ac:dyDescent="0.3">
      <c r="B29" s="17" t="s">
        <v>3</v>
      </c>
      <c r="C29" s="17" t="s">
        <v>29</v>
      </c>
      <c r="D29" s="17" t="s">
        <v>5</v>
      </c>
      <c r="E29" s="17" t="s">
        <v>6</v>
      </c>
      <c r="F29" s="17" t="s">
        <v>7</v>
      </c>
      <c r="G29" s="17" t="s">
        <v>8</v>
      </c>
      <c r="H29" s="17" t="s">
        <v>9</v>
      </c>
      <c r="I29" s="42"/>
    </row>
    <row r="30" spans="2:9" x14ac:dyDescent="0.3">
      <c r="B30" s="17">
        <v>1</v>
      </c>
      <c r="C30" s="17" t="s">
        <v>17</v>
      </c>
      <c r="D30" s="51">
        <f t="shared" ref="D30:G30" si="5">D23/4</f>
        <v>0</v>
      </c>
      <c r="E30" s="51">
        <f t="shared" si="5"/>
        <v>3.3333333333333333E-2</v>
      </c>
      <c r="F30" s="51">
        <f t="shared" si="5"/>
        <v>0.32500000000000001</v>
      </c>
      <c r="G30" s="51">
        <f t="shared" si="5"/>
        <v>0.5</v>
      </c>
      <c r="H30" s="51">
        <f>H23/4</f>
        <v>0.85833333333333339</v>
      </c>
      <c r="I30" s="51"/>
    </row>
    <row r="31" spans="2:9" x14ac:dyDescent="0.3">
      <c r="B31" s="17">
        <v>2</v>
      </c>
      <c r="C31" s="17" t="s">
        <v>18</v>
      </c>
      <c r="D31" s="51">
        <f t="shared" ref="D31:H31" si="6">D24/4</f>
        <v>0</v>
      </c>
      <c r="E31" s="51">
        <f t="shared" si="6"/>
        <v>0</v>
      </c>
      <c r="F31" s="51">
        <f t="shared" si="6"/>
        <v>0.35</v>
      </c>
      <c r="G31" s="51">
        <f t="shared" si="6"/>
        <v>0.53333333333333333</v>
      </c>
      <c r="H31" s="51">
        <f t="shared" si="6"/>
        <v>0.8833333333333333</v>
      </c>
      <c r="I31" s="51"/>
    </row>
    <row r="32" spans="2:9" x14ac:dyDescent="0.3">
      <c r="B32" s="17">
        <v>3</v>
      </c>
      <c r="C32" s="17" t="s">
        <v>19</v>
      </c>
      <c r="D32" s="51">
        <f t="shared" ref="D32:H32" si="7">D25/4</f>
        <v>0</v>
      </c>
      <c r="E32" s="51">
        <f t="shared" si="7"/>
        <v>1.6666666666666666E-2</v>
      </c>
      <c r="F32" s="51">
        <f t="shared" si="7"/>
        <v>0.35</v>
      </c>
      <c r="G32" s="51">
        <f t="shared" si="7"/>
        <v>0.5</v>
      </c>
      <c r="H32" s="51">
        <f t="shared" si="7"/>
        <v>0.8666666666666667</v>
      </c>
      <c r="I32" s="51"/>
    </row>
    <row r="33" spans="2:9" x14ac:dyDescent="0.3">
      <c r="B33" s="17">
        <v>4</v>
      </c>
      <c r="C33" s="17" t="s">
        <v>20</v>
      </c>
      <c r="D33" s="51">
        <f t="shared" ref="D33:H33" si="8">D26/4</f>
        <v>0</v>
      </c>
      <c r="E33" s="51">
        <f t="shared" si="8"/>
        <v>0</v>
      </c>
      <c r="F33" s="51">
        <f t="shared" si="8"/>
        <v>0.125</v>
      </c>
      <c r="G33" s="51">
        <f t="shared" si="8"/>
        <v>0.83333333333333337</v>
      </c>
      <c r="H33" s="51">
        <f t="shared" si="8"/>
        <v>0.95833333333333337</v>
      </c>
      <c r="I33" s="51"/>
    </row>
    <row r="34" spans="2:9" x14ac:dyDescent="0.3">
      <c r="B34" s="17"/>
      <c r="C34" s="17" t="s">
        <v>16</v>
      </c>
      <c r="D34" s="18"/>
      <c r="E34" s="18"/>
      <c r="F34" s="18"/>
      <c r="G34" s="18"/>
      <c r="H34" s="50"/>
      <c r="I34" s="50"/>
    </row>
    <row r="66" spans="2:9" x14ac:dyDescent="0.3">
      <c r="B66" s="42" t="s">
        <v>3</v>
      </c>
      <c r="C66" s="42" t="s">
        <v>30</v>
      </c>
      <c r="D66" s="42" t="s">
        <v>5</v>
      </c>
      <c r="E66" s="42" t="s">
        <v>6</v>
      </c>
      <c r="F66" s="42" t="s">
        <v>7</v>
      </c>
      <c r="G66" s="42" t="s">
        <v>8</v>
      </c>
      <c r="H66" s="42" t="s">
        <v>9</v>
      </c>
      <c r="I66" s="42"/>
    </row>
    <row r="67" spans="2:9" x14ac:dyDescent="0.3">
      <c r="B67" s="42">
        <v>1</v>
      </c>
      <c r="C67" s="42" t="s">
        <v>17</v>
      </c>
      <c r="D67" s="52">
        <v>0</v>
      </c>
      <c r="E67" s="52">
        <v>0</v>
      </c>
      <c r="F67" s="52">
        <v>1.125</v>
      </c>
      <c r="G67" s="52">
        <v>2.5</v>
      </c>
      <c r="H67" s="52">
        <v>3.625</v>
      </c>
      <c r="I67" s="52">
        <v>90.625</v>
      </c>
    </row>
    <row r="68" spans="2:9" x14ac:dyDescent="0.3">
      <c r="B68" s="42">
        <v>2</v>
      </c>
      <c r="C68" s="42" t="s">
        <v>18</v>
      </c>
      <c r="D68" s="52">
        <v>0</v>
      </c>
      <c r="E68" s="52">
        <v>0</v>
      </c>
      <c r="F68" s="52">
        <v>1.05</v>
      </c>
      <c r="G68" s="52">
        <v>2.6</v>
      </c>
      <c r="H68" s="52">
        <v>3.6500000000000004</v>
      </c>
      <c r="I68" s="52">
        <v>91.250000000000014</v>
      </c>
    </row>
    <row r="69" spans="2:9" x14ac:dyDescent="0.3">
      <c r="B69" s="42">
        <v>3</v>
      </c>
      <c r="C69" s="42" t="s">
        <v>19</v>
      </c>
      <c r="D69" s="52">
        <v>0</v>
      </c>
      <c r="E69" s="52">
        <v>0</v>
      </c>
      <c r="F69" s="52">
        <v>1.2</v>
      </c>
      <c r="G69" s="52">
        <v>2.4</v>
      </c>
      <c r="H69" s="52">
        <v>3.5999999999999996</v>
      </c>
      <c r="I69" s="52">
        <v>89.999999999999986</v>
      </c>
    </row>
    <row r="70" spans="2:9" x14ac:dyDescent="0.3">
      <c r="B70" s="42">
        <v>4</v>
      </c>
      <c r="C70" s="42" t="s">
        <v>20</v>
      </c>
      <c r="D70" s="52">
        <v>0</v>
      </c>
      <c r="E70" s="52">
        <v>0</v>
      </c>
      <c r="F70" s="52">
        <v>1.125</v>
      </c>
      <c r="G70" s="52">
        <v>2.5</v>
      </c>
      <c r="H70" s="52">
        <v>3.625</v>
      </c>
      <c r="I70" s="52">
        <v>90.625</v>
      </c>
    </row>
    <row r="71" spans="2:9" x14ac:dyDescent="0.3">
      <c r="B71" s="42"/>
      <c r="C71" s="42" t="s">
        <v>16</v>
      </c>
      <c r="D71" s="52"/>
      <c r="E71" s="52"/>
      <c r="F71" s="52"/>
      <c r="G71" s="52"/>
      <c r="H71" s="52">
        <v>3.625</v>
      </c>
      <c r="I71" s="52">
        <v>90.625</v>
      </c>
    </row>
    <row r="74" spans="2:9" x14ac:dyDescent="0.3">
      <c r="B74" s="42" t="s">
        <v>3</v>
      </c>
      <c r="C74" s="42" t="s">
        <v>30</v>
      </c>
      <c r="D74" s="42" t="s">
        <v>5</v>
      </c>
      <c r="E74" s="42" t="s">
        <v>6</v>
      </c>
      <c r="F74" s="42" t="s">
        <v>7</v>
      </c>
      <c r="G74" s="42" t="s">
        <v>8</v>
      </c>
      <c r="H74" s="42" t="s">
        <v>9</v>
      </c>
      <c r="I74" s="42"/>
    </row>
    <row r="75" spans="2:9" x14ac:dyDescent="0.3">
      <c r="B75" s="42">
        <v>1</v>
      </c>
      <c r="C75" s="42" t="s">
        <v>17</v>
      </c>
      <c r="D75" s="47">
        <f t="shared" ref="D75:F75" si="9">D67/4</f>
        <v>0</v>
      </c>
      <c r="E75" s="47">
        <f t="shared" si="9"/>
        <v>0</v>
      </c>
      <c r="F75" s="47">
        <f t="shared" si="9"/>
        <v>0.28125</v>
      </c>
      <c r="G75" s="47">
        <f>G67/4</f>
        <v>0.625</v>
      </c>
      <c r="H75" s="52"/>
      <c r="I75" s="52"/>
    </row>
    <row r="76" spans="2:9" x14ac:dyDescent="0.3">
      <c r="B76" s="42">
        <v>2</v>
      </c>
      <c r="C76" s="42" t="s">
        <v>18</v>
      </c>
      <c r="D76" s="47">
        <f t="shared" ref="D76:G76" si="10">D68/4</f>
        <v>0</v>
      </c>
      <c r="E76" s="47">
        <f t="shared" si="10"/>
        <v>0</v>
      </c>
      <c r="F76" s="47">
        <f t="shared" si="10"/>
        <v>0.26250000000000001</v>
      </c>
      <c r="G76" s="47">
        <f t="shared" si="10"/>
        <v>0.65</v>
      </c>
      <c r="H76" s="52"/>
      <c r="I76" s="52"/>
    </row>
    <row r="77" spans="2:9" x14ac:dyDescent="0.3">
      <c r="B77" s="42">
        <v>3</v>
      </c>
      <c r="C77" s="42" t="s">
        <v>19</v>
      </c>
      <c r="D77" s="47">
        <f t="shared" ref="D77:G77" si="11">D69/4</f>
        <v>0</v>
      </c>
      <c r="E77" s="47">
        <f t="shared" si="11"/>
        <v>0</v>
      </c>
      <c r="F77" s="47">
        <f t="shared" si="11"/>
        <v>0.3</v>
      </c>
      <c r="G77" s="47">
        <f t="shared" si="11"/>
        <v>0.6</v>
      </c>
      <c r="H77" s="52"/>
      <c r="I77" s="52"/>
    </row>
    <row r="78" spans="2:9" x14ac:dyDescent="0.3">
      <c r="B78" s="42">
        <v>4</v>
      </c>
      <c r="C78" s="42" t="s">
        <v>20</v>
      </c>
      <c r="D78" s="47">
        <f t="shared" ref="D78:G78" si="12">D70/4</f>
        <v>0</v>
      </c>
      <c r="E78" s="47">
        <f t="shared" si="12"/>
        <v>0</v>
      </c>
      <c r="F78" s="47">
        <f t="shared" si="12"/>
        <v>0.28125</v>
      </c>
      <c r="G78" s="47">
        <f t="shared" si="12"/>
        <v>0.625</v>
      </c>
      <c r="H78" s="52"/>
      <c r="I78" s="52"/>
    </row>
    <row r="79" spans="2:9" x14ac:dyDescent="0.3">
      <c r="B79" s="42"/>
      <c r="C79" s="42" t="s">
        <v>16</v>
      </c>
      <c r="D79" s="52"/>
      <c r="E79" s="52"/>
      <c r="F79" s="52"/>
      <c r="G79" s="52"/>
      <c r="H79" s="52"/>
      <c r="I79" s="52"/>
    </row>
    <row r="81" spans="2:8" x14ac:dyDescent="0.3">
      <c r="B81" s="17" t="s">
        <v>3</v>
      </c>
      <c r="C81" s="17" t="s">
        <v>31</v>
      </c>
      <c r="D81" s="17" t="s">
        <v>5</v>
      </c>
      <c r="E81" s="17" t="s">
        <v>6</v>
      </c>
      <c r="F81" s="17" t="s">
        <v>7</v>
      </c>
      <c r="G81" s="17" t="s">
        <v>8</v>
      </c>
      <c r="H81" s="17" t="s">
        <v>9</v>
      </c>
    </row>
    <row r="82" spans="2:8" x14ac:dyDescent="0.3">
      <c r="B82" s="17">
        <v>1</v>
      </c>
      <c r="C82" s="17" t="s">
        <v>17</v>
      </c>
      <c r="D82" s="17">
        <v>0</v>
      </c>
      <c r="E82" s="17">
        <v>0</v>
      </c>
      <c r="F82" s="17">
        <v>1.35</v>
      </c>
      <c r="G82" s="17">
        <v>2.2000000000000002</v>
      </c>
      <c r="H82" s="17">
        <v>3.5500000000000003</v>
      </c>
    </row>
    <row r="83" spans="2:8" x14ac:dyDescent="0.3">
      <c r="B83" s="17">
        <v>2</v>
      </c>
      <c r="C83" s="17" t="s">
        <v>18</v>
      </c>
      <c r="D83" s="17">
        <v>0</v>
      </c>
      <c r="E83" s="17">
        <v>0.05</v>
      </c>
      <c r="F83" s="17">
        <v>1.2</v>
      </c>
      <c r="G83" s="17">
        <v>2.2999999999999998</v>
      </c>
      <c r="H83" s="17">
        <v>3.55</v>
      </c>
    </row>
    <row r="84" spans="2:8" x14ac:dyDescent="0.3">
      <c r="B84" s="17">
        <v>3</v>
      </c>
      <c r="C84" s="17" t="s">
        <v>19</v>
      </c>
      <c r="D84" s="17">
        <v>0</v>
      </c>
      <c r="E84" s="17">
        <v>0.05</v>
      </c>
      <c r="F84" s="17">
        <v>1.2749999999999999</v>
      </c>
      <c r="G84" s="17">
        <v>2.2000000000000002</v>
      </c>
      <c r="H84" s="17">
        <v>3.5250000000000004</v>
      </c>
    </row>
    <row r="85" spans="2:8" x14ac:dyDescent="0.3">
      <c r="B85" s="17">
        <v>4</v>
      </c>
      <c r="C85" s="17" t="s">
        <v>20</v>
      </c>
      <c r="D85" s="17">
        <v>0</v>
      </c>
      <c r="E85" s="17">
        <v>0.05</v>
      </c>
      <c r="F85" s="17">
        <v>1.2</v>
      </c>
      <c r="G85" s="17">
        <v>2.2999999999999998</v>
      </c>
      <c r="H85" s="17">
        <v>3.55</v>
      </c>
    </row>
    <row r="87" spans="2:8" x14ac:dyDescent="0.3">
      <c r="B87" s="17" t="s">
        <v>3</v>
      </c>
      <c r="C87" s="17" t="s">
        <v>31</v>
      </c>
      <c r="D87" s="17" t="s">
        <v>5</v>
      </c>
      <c r="E87" s="17" t="s">
        <v>6</v>
      </c>
      <c r="F87" s="17" t="s">
        <v>7</v>
      </c>
      <c r="G87" s="17" t="s">
        <v>8</v>
      </c>
    </row>
    <row r="88" spans="2:8" x14ac:dyDescent="0.3">
      <c r="B88" s="17">
        <v>1</v>
      </c>
      <c r="C88" s="17" t="s">
        <v>17</v>
      </c>
      <c r="D88" s="51">
        <f t="shared" ref="D88:F88" si="13">D82/4</f>
        <v>0</v>
      </c>
      <c r="E88" s="51">
        <f t="shared" si="13"/>
        <v>0</v>
      </c>
      <c r="F88" s="51">
        <f t="shared" si="13"/>
        <v>0.33750000000000002</v>
      </c>
      <c r="G88" s="51">
        <f>G82/4</f>
        <v>0.55000000000000004</v>
      </c>
    </row>
    <row r="89" spans="2:8" x14ac:dyDescent="0.3">
      <c r="B89" s="17">
        <v>2</v>
      </c>
      <c r="C89" s="17" t="s">
        <v>18</v>
      </c>
      <c r="D89" s="51">
        <f t="shared" ref="D89:G89" si="14">D83/4</f>
        <v>0</v>
      </c>
      <c r="E89" s="51">
        <f t="shared" si="14"/>
        <v>1.2500000000000001E-2</v>
      </c>
      <c r="F89" s="51">
        <f t="shared" si="14"/>
        <v>0.3</v>
      </c>
      <c r="G89" s="51">
        <f t="shared" si="14"/>
        <v>0.57499999999999996</v>
      </c>
    </row>
    <row r="90" spans="2:8" x14ac:dyDescent="0.3">
      <c r="B90" s="17">
        <v>3</v>
      </c>
      <c r="C90" s="17" t="s">
        <v>19</v>
      </c>
      <c r="D90" s="51">
        <f t="shared" ref="D90:G90" si="15">D84/4</f>
        <v>0</v>
      </c>
      <c r="E90" s="51">
        <f t="shared" si="15"/>
        <v>1.2500000000000001E-2</v>
      </c>
      <c r="F90" s="51">
        <f t="shared" si="15"/>
        <v>0.31874999999999998</v>
      </c>
      <c r="G90" s="51">
        <f t="shared" si="15"/>
        <v>0.55000000000000004</v>
      </c>
    </row>
    <row r="91" spans="2:8" x14ac:dyDescent="0.3">
      <c r="B91" s="17">
        <v>4</v>
      </c>
      <c r="C91" s="17" t="s">
        <v>20</v>
      </c>
      <c r="D91" s="51">
        <f t="shared" ref="D91:G91" si="16">D85/4</f>
        <v>0</v>
      </c>
      <c r="E91" s="51">
        <f t="shared" si="16"/>
        <v>1.2500000000000001E-2</v>
      </c>
      <c r="F91" s="51">
        <f t="shared" si="16"/>
        <v>0.3</v>
      </c>
      <c r="G91" s="51">
        <f t="shared" si="16"/>
        <v>0.57499999999999996</v>
      </c>
    </row>
  </sheetData>
  <mergeCells count="1">
    <mergeCell ref="C19:G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Sugar Manufacturing Process</vt:lpstr>
      <vt:lpstr>Sheet1</vt:lpstr>
      <vt:lpstr>Sheet2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Shubhashis Biswas</dc:creator>
  <cp:lastModifiedBy>Yogendra Das</cp:lastModifiedBy>
  <dcterms:created xsi:type="dcterms:W3CDTF">2021-08-11T09:16:56Z</dcterms:created>
  <dcterms:modified xsi:type="dcterms:W3CDTF">2025-09-08T10:52:35Z</dcterms:modified>
</cp:coreProperties>
</file>